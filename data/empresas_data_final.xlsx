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liente" sheetId="2" r:id="rId5"/>
  </sheets>
  <definedNames>
    <definedName hidden="1" localSheetId="0" name="_xlnm._FilterDatabase">data!$A$2:$AU$51</definedName>
  </definedNames>
  <calcPr/>
  <extLst>
    <ext uri="GoogleSheetsCustomDataVersion2">
      <go:sheetsCustomData xmlns:go="http://customooxmlschemas.google.com/" r:id="rId6" roundtripDataChecksum="NDdtoRQ2DvSsyAq2uer38RaP4EZrMrHNkQWJibk3YL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======
ID#AAACFEHkewI
tc={0AC45323-61E0-E24C-AB1E-4FC573A1FB5F}    (2026-08-25 22:29:31)
[Threaded comment]
Your version of Excel allows you to read this threaded comment; however, any edits to it will get removed if the file is opened in a newer version of Excel. Learn more: https://go.microsoft.com/fwlink/?linkid=870924
Comment:
    Beta is a measure of an investment’s volatility relative to the market as represented by a benchmark. For funds, the benchmark is the category average. For stocks, the benchmark is the Morningstar Index.</t>
      </text>
    </comment>
    <comment authorId="0" ref="S2">
      <text>
        <t xml:space="preserve">======
ID#AAACFEHkewc
tc={03FEA1E7-57C8-3A4F-AADE-D5A482FA6F33}    (2026-08-25 22:29:31)
[Threaded comment]
Your version of Excel allows you to read this threaded comment; however, any edits to it will get removed if the file is opened in a newer version of Excel. Learn more: https://go.microsoft.com/fwlink/?linkid=870924
Comment:
    https://www.morningstar.com/stocks/xnys/sii/trailing-returns</t>
      </text>
    </comment>
    <comment authorId="0" ref="P10">
      <text>
        <t xml:space="preserve">======
ID#AAACFEHkewU
tc={AE9DB7C4-763B-F94D-A6F1-9F7517CD7028}    (2026-08-25 22:29:31)
[Threaded comment]
Your version of Excel allows you to read this threaded comment; however, any edits to it will get removed if the file is opened in a newer version of Excel. Learn more: https://go.microsoft.com/fwlink/?linkid=870924
Comment:
    recien tiene 2 años con ganancia</t>
      </text>
    </comment>
    <comment authorId="0" ref="P8">
      <text>
        <t xml:space="preserve">======
ID#AAACFEHkewY
tc={5F5F15BF-E90F-A244-9C01-B1E32CEB63FB}    (2026-08-25 22:29:31)
[Threaded comment]
Your version of Excel allows you to read this threaded comment; however, any edits to it will get removed if the file is opened in a newer version of Excel. Learn more: https://go.microsoft.com/fwlink/?linkid=870924
Comment:
    recien tiene 2 años con ganancia</t>
      </text>
    </comment>
    <comment authorId="0" ref="Z2">
      <text>
        <t xml:space="preserve">======
ID#AAACFEHkewM
tc={61F66668-3626-6A47-AC1F-6D2EB04E2D24}    (2026-08-25 22:29:31)
[Threaded comment]
Your version of Excel allows you to read this threaded comment; however, any edits to it will get removed if the file is opened in a newer version of Excel. Learn more: https://go.microsoft.com/fwlink/?linkid=870924
Comment:
    clase 2
Ejemplos de empresas y EPSgrowthPerpetuo
4% - KO
5% - AAPL
6% - META
7% - GOOGL
8% - NVDA</t>
      </text>
    </comment>
    <comment authorId="0" ref="R8">
      <text>
        <t xml:space="preserve">======
ID#AAACFEHkewE
tc={4E10DC8C-75DB-2243-9091-5187A3A80829}    (2026-08-25 22:29:31)
[Threaded comment]
Your version of Excel allows you to read this threaded comment; however, any edits to it will get removed if the file is opened in a newer version of Excel. Learn more: https://go.microsoft.com/fwlink/?linkid=870924
Comment:
    ultimos 3 años, mensual</t>
      </text>
    </comment>
    <comment authorId="0" ref="AE2">
      <text>
        <t xml:space="preserve">======
ID#AAACFEHkewQ
tc={F2BFD84C-AF15-BD4A-ABC2-77AB38CC9177}    (2026-08-25 22:29:31)
[Threaded comment]
Your version of Excel allows you to read this threaded comment; however, any edits to it will get removed if the file is opened in a newer version of Excel. Learn more: https://go.microsoft.com/fwlink/?linkid=870924
Comment:
    CAGR teorico que obtendria invertiendo en la empresa, cuanto obtengo por año promedio hasta que revierta el precio hasta el P/E</t>
      </text>
    </comment>
  </commentList>
  <extLst>
    <ext uri="GoogleSheetsCustomDataVersion2">
      <go:sheetsCustomData xmlns:go="http://customooxmlschemas.google.com/" r:id="rId1" roundtripDataSignature="AMtx7mhhGH7HV/z854vwhfAPOfjQRHInxg=="/>
    </ext>
  </extLst>
</comments>
</file>

<file path=xl/sharedStrings.xml><?xml version="1.0" encoding="utf-8"?>
<sst xmlns="http://schemas.openxmlformats.org/spreadsheetml/2006/main" count="704" uniqueCount="450">
  <si>
    <t>Asset</t>
  </si>
  <si>
    <t xml:space="preserve">Target </t>
  </si>
  <si>
    <t>Banda</t>
  </si>
  <si>
    <t>Patrimonio inicial</t>
  </si>
  <si>
    <t>USD 1.000.000</t>
  </si>
  <si>
    <t>Equity</t>
  </si>
  <si>
    <t>25%-35%</t>
  </si>
  <si>
    <t>Horizonte</t>
  </si>
  <si>
    <t>10 años</t>
  </si>
  <si>
    <t>Bond</t>
  </si>
  <si>
    <t>45%-55%</t>
  </si>
  <si>
    <t>Cash</t>
  </si>
  <si>
    <t>5%-15%</t>
  </si>
  <si>
    <t>Desembolsos</t>
  </si>
  <si>
    <t>REITs</t>
  </si>
  <si>
    <t>3%-7%</t>
  </si>
  <si>
    <t>Año 3</t>
  </si>
  <si>
    <t>Gold</t>
  </si>
  <si>
    <t>Año 7</t>
  </si>
  <si>
    <t>#</t>
  </si>
  <si>
    <t>Ticker</t>
  </si>
  <si>
    <t>Emisor</t>
  </si>
  <si>
    <t>Cupon</t>
  </si>
  <si>
    <t>Frecuencia cupon</t>
  </si>
  <si>
    <t>Vencimiento</t>
  </si>
  <si>
    <t>Rating (S&amp;P/Moody's)</t>
  </si>
  <si>
    <t>TIR aprox</t>
  </si>
  <si>
    <t>ISIN/CUSIP</t>
  </si>
  <si>
    <t>Sector</t>
  </si>
  <si>
    <t>Prospecto</t>
  </si>
  <si>
    <t>TSM</t>
  </si>
  <si>
    <t>TSMC - Arizona</t>
  </si>
  <si>
    <t>Semestral</t>
  </si>
  <si>
    <t>22-abr-2032</t>
  </si>
  <si>
    <t>AA- / Aa3</t>
  </si>
  <si>
    <t>~4,3-4,6%</t>
  </si>
  <si>
    <t>US872898AH40</t>
  </si>
  <si>
    <t>Semis</t>
  </si>
  <si>
    <r>
      <rPr>
        <rFont val="&quot;Aptos Narrow&quot;, sans-serif"/>
        <color rgb="FF1155CC"/>
        <sz val="11.0"/>
        <u/>
      </rPr>
      <t>SEC EDGAR (TSMC Arizona)</t>
    </r>
  </si>
  <si>
    <t>KLAC</t>
  </si>
  <si>
    <t>KLA Corp</t>
  </si>
  <si>
    <t>A- / A3</t>
  </si>
  <si>
    <t>~4,7-5,0%</t>
  </si>
  <si>
    <t>482480AL4</t>
  </si>
  <si>
    <r>
      <rPr>
        <rFont val="&quot;Aptos Narrow&quot;, sans-serif"/>
        <color rgb="FF1155CC"/>
        <sz val="11.0"/>
        <u/>
      </rPr>
      <t>Term sheet SEC</t>
    </r>
  </si>
  <si>
    <t>B</t>
  </si>
  <si>
    <t>Barrick Mining</t>
  </si>
  <si>
    <t>A- / Baa1</t>
  </si>
  <si>
    <t>~5,1%</t>
  </si>
  <si>
    <t>725906AH4</t>
  </si>
  <si>
    <t>Oro</t>
  </si>
  <si>
    <r>
      <rPr>
        <rFont val="&quot;Aptos Narrow&quot;, sans-serif"/>
        <color rgb="FF1155CC"/>
        <sz val="11.0"/>
        <u/>
      </rPr>
      <t>SEC EDGAR (Barrick)</t>
    </r>
  </si>
  <si>
    <t>NFLX</t>
  </si>
  <si>
    <t>Netflix</t>
  </si>
  <si>
    <t>Modelo de Grinold Kroner</t>
  </si>
  <si>
    <t>BBB / Baa2</t>
  </si>
  <si>
    <t>~5,0%</t>
  </si>
  <si>
    <t>US64110LAZ94</t>
  </si>
  <si>
    <t>Comm. Services</t>
  </si>
  <si>
    <r>
      <rPr>
        <rFont val="&quot;Aptos Narrow&quot;, sans-serif"/>
        <color rgb="FF1155CC"/>
        <sz val="11.0"/>
        <u/>
      </rPr>
      <t>424B5 SEC</t>
    </r>
  </si>
  <si>
    <t>Model Ben Graham</t>
  </si>
  <si>
    <t>Morningstar</t>
  </si>
  <si>
    <t>VLO</t>
  </si>
  <si>
    <t>RRF</t>
  </si>
  <si>
    <t>Valero Energy</t>
  </si>
  <si>
    <t>Borda</t>
  </si>
  <si>
    <t>Copeland</t>
  </si>
  <si>
    <t>Final</t>
  </si>
  <si>
    <t>15-abr-2032</t>
  </si>
  <si>
    <t>~4,95%</t>
  </si>
  <si>
    <t>Company</t>
  </si>
  <si>
    <t>91913YAE0</t>
  </si>
  <si>
    <t>Industry</t>
  </si>
  <si>
    <t>Energia</t>
  </si>
  <si>
    <t>Country</t>
  </si>
  <si>
    <r>
      <rPr>
        <rFont val="&quot;Aptos Narrow&quot;, sans-serif"/>
        <color rgb="FF1155CC"/>
        <sz val="11.0"/>
        <u/>
      </rPr>
      <t>SEC EDGAR (Valero)</t>
    </r>
  </si>
  <si>
    <t>Market Cap</t>
  </si>
  <si>
    <t>P/E</t>
  </si>
  <si>
    <t>Price</t>
  </si>
  <si>
    <t>Change %</t>
  </si>
  <si>
    <t>Volume</t>
  </si>
  <si>
    <t>Ratio de aplancamiento (Debt to Equity)</t>
  </si>
  <si>
    <t>Interest Coverage</t>
  </si>
  <si>
    <t>Tier 1 Capital ratio</t>
  </si>
  <si>
    <t>DivY%L5Y</t>
  </si>
  <si>
    <t>BuybackY%L5Y</t>
  </si>
  <si>
    <t>EPSgVALUE</t>
  </si>
  <si>
    <t>EPSgPERIOD</t>
  </si>
  <si>
    <t>BetaL5Y</t>
  </si>
  <si>
    <t>Index</t>
  </si>
  <si>
    <t>ERM L15Y</t>
  </si>
  <si>
    <t>BetaL5Y YF (SPY)</t>
  </si>
  <si>
    <t>ERM SPY</t>
  </si>
  <si>
    <t>DilutedEPS</t>
  </si>
  <si>
    <t>CurrentP/E</t>
  </si>
  <si>
    <t>MU</t>
  </si>
  <si>
    <t>RiskFree</t>
  </si>
  <si>
    <t>EPSgrowthPerpetuo</t>
  </si>
  <si>
    <t>Ke</t>
  </si>
  <si>
    <t>Micron Technology</t>
  </si>
  <si>
    <t>P/E Perpetuo</t>
  </si>
  <si>
    <t>delta(P/E)</t>
  </si>
  <si>
    <t>años hasta revertir</t>
  </si>
  <si>
    <t>CAGR GrinoldKroner</t>
  </si>
  <si>
    <t>RANKING</t>
  </si>
  <si>
    <t>BBB- / Baa3</t>
  </si>
  <si>
    <t>AAA10y</t>
  </si>
  <si>
    <t>Valor Graham</t>
  </si>
  <si>
    <t>~5,4%</t>
  </si>
  <si>
    <t>Diff Graham</t>
  </si>
  <si>
    <t>595112CB7</t>
  </si>
  <si>
    <t>Fair Value</t>
  </si>
  <si>
    <t>Diff Morningstar</t>
  </si>
  <si>
    <r>
      <rPr>
        <rFont val="&quot;Aptos Narrow&quot;, sans-serif"/>
        <color rgb="FF1155CC"/>
        <sz val="11.0"/>
        <u/>
      </rPr>
      <t>424B5 SEC</t>
    </r>
  </si>
  <si>
    <t>RANKINGFinal</t>
  </si>
  <si>
    <t>Peso en Cartera</t>
  </si>
  <si>
    <t>RDDT</t>
  </si>
  <si>
    <t>Reddit Inc</t>
  </si>
  <si>
    <t>Communication Services</t>
  </si>
  <si>
    <t>Internet Content &amp; Information</t>
  </si>
  <si>
    <t>USA</t>
  </si>
  <si>
    <t>30.42B</t>
  </si>
  <si>
    <t>36,76</t>
  </si>
  <si>
    <t>Empresas que no estan en nuestro ranking</t>
  </si>
  <si>
    <t>3,04%</t>
  </si>
  <si>
    <t>N/A</t>
  </si>
  <si>
    <t>Frecuencia</t>
  </si>
  <si>
    <t>Promedio en 1 año</t>
  </si>
  <si>
    <t>Pata (liability)</t>
  </si>
  <si>
    <t>CUSIP/ISIN</t>
  </si>
  <si>
    <t>AAPL</t>
  </si>
  <si>
    <t>Apple</t>
  </si>
  <si>
    <t>3,25%</t>
  </si>
  <si>
    <t>08-ago-2029</t>
  </si>
  <si>
    <t>Ano 3</t>
  </si>
  <si>
    <t>AA+ / Aaa</t>
  </si>
  <si>
    <t>~4,26%</t>
  </si>
  <si>
    <t>037833EN6</t>
  </si>
  <si>
    <t>Tech</t>
  </si>
  <si>
    <t>https://www.sec.gov/Archives/edgar/data/320193/000119312519238922/d751814d424b2.htm</t>
  </si>
  <si>
    <t>CVX</t>
  </si>
  <si>
    <t>Chevron USA</t>
  </si>
  <si>
    <t>AA- / Aa2</t>
  </si>
  <si>
    <t>~3,93%</t>
  </si>
  <si>
    <t>166756AS5</t>
  </si>
  <si>
    <t>https://www.sec.gov/cgi-bin/browse-edgar?action=getcompany&amp;CIK=0000093410&amp;type=424B&amp;count=100</t>
  </si>
  <si>
    <t>JPM</t>
  </si>
  <si>
    <t>JPMorgan Chase</t>
  </si>
  <si>
    <t>5,00%</t>
  </si>
  <si>
    <t>A- / A1</t>
  </si>
  <si>
    <t>~4,10%</t>
  </si>
  <si>
    <t>48130CGM1</t>
  </si>
  <si>
    <t>Financiero</t>
  </si>
  <si>
    <t>https://www.sec.gov/cgi-bin/browse-edgar?action=getcompany&amp;CIK=0000019617&amp;type=424B&amp;count=100</t>
  </si>
  <si>
    <t>KO</t>
  </si>
  <si>
    <t>Coca-Cola</t>
  </si>
  <si>
    <t>3,45%</t>
  </si>
  <si>
    <t>Ano 3-4</t>
  </si>
  <si>
    <t>A+ / A1</t>
  </si>
  <si>
    <t>~4,32%</t>
  </si>
  <si>
    <t>191216CT5</t>
  </si>
  <si>
    <t>Consumo defensivo</t>
  </si>
  <si>
    <t>https://www.sec.gov/cgi-bin/browse-edgar?action=getcompany&amp;CIK=0000021344&amp;type=424B&amp;count=100</t>
  </si>
  <si>
    <t>4,30%</t>
  </si>
  <si>
    <t>Ano 7</t>
  </si>
  <si>
    <t>~4,68%</t>
  </si>
  <si>
    <t>037833EV8</t>
  </si>
  <si>
    <t>https://www.sec.gov/Archives/edgar/data/320193/000114036123023700/ny20007635x3_424b2.htm</t>
  </si>
  <si>
    <t>CMCSA</t>
  </si>
  <si>
    <t>Comcast</t>
  </si>
  <si>
    <t>7,05%</t>
  </si>
  <si>
    <t>20030NAC5</t>
  </si>
  <si>
    <t>Media/Telecom</t>
  </si>
  <si>
    <t>https://www.sec.gov/cgi-bin/browse-edgar?action=getcompany&amp;CIK=0001166691&amp;type=424B&amp;count=100</t>
  </si>
  <si>
    <t>ORCL</t>
  </si>
  <si>
    <t>Oracle</t>
  </si>
  <si>
    <t>6,25%</t>
  </si>
  <si>
    <t>68389XCE3</t>
  </si>
  <si>
    <t>https://www.sec.gov/cgi-bin/browse-edgar?action=getcompany&amp;CIK=0001341439&amp;type=424B&amp;count=100</t>
  </si>
  <si>
    <t>RELY</t>
  </si>
  <si>
    <t>Remitly Global Inc</t>
  </si>
  <si>
    <t>Technology</t>
  </si>
  <si>
    <t>Software - Infrastructure</t>
  </si>
  <si>
    <t>5.42B</t>
  </si>
  <si>
    <t>18,44</t>
  </si>
  <si>
    <t>5,74%</t>
  </si>
  <si>
    <t>NU</t>
  </si>
  <si>
    <t>Nu Holdings Ltd</t>
  </si>
  <si>
    <t>Financial</t>
  </si>
  <si>
    <t>Banks - Regional</t>
  </si>
  <si>
    <t>Brazil</t>
  </si>
  <si>
    <t>67.29B</t>
  </si>
  <si>
    <t>65.149.693</t>
  </si>
  <si>
    <t>3años</t>
  </si>
  <si>
    <t>SEZL</t>
  </si>
  <si>
    <t>Sezzle Inc</t>
  </si>
  <si>
    <t>Credit Services</t>
  </si>
  <si>
    <t>4.37B</t>
  </si>
  <si>
    <t>28,24</t>
  </si>
  <si>
    <t>3,53%</t>
  </si>
  <si>
    <t>Promedio en 3 años</t>
  </si>
  <si>
    <t>NVDA</t>
  </si>
  <si>
    <t>NVIDIA Corp</t>
  </si>
  <si>
    <t>Semiconductors</t>
  </si>
  <si>
    <t>5452.26B</t>
  </si>
  <si>
    <t>34,5</t>
  </si>
  <si>
    <t>0,54%</t>
  </si>
  <si>
    <t>Promedio en 10 años</t>
  </si>
  <si>
    <t>TOST</t>
  </si>
  <si>
    <t>Toast Inc</t>
  </si>
  <si>
    <t>20.46B</t>
  </si>
  <si>
    <t>8,015,204</t>
  </si>
  <si>
    <t>EPS manual</t>
  </si>
  <si>
    <t>Morningstar US Market TR USD</t>
  </si>
  <si>
    <t>RSSS</t>
  </si>
  <si>
    <t>Research Solutions Inc</t>
  </si>
  <si>
    <t>Software - Application</t>
  </si>
  <si>
    <t>76.60M</t>
  </si>
  <si>
    <t>16,42</t>
  </si>
  <si>
    <t>2,69%</t>
  </si>
  <si>
    <t>SPOT</t>
  </si>
  <si>
    <t>Spotify Technology SA</t>
  </si>
  <si>
    <t>Sweden</t>
  </si>
  <si>
    <t>102.58B</t>
  </si>
  <si>
    <t>1,091,903</t>
  </si>
  <si>
    <t>Netflix Inc</t>
  </si>
  <si>
    <t>Entertainment</t>
  </si>
  <si>
    <t>325.79B</t>
  </si>
  <si>
    <t>41.362.114</t>
  </si>
  <si>
    <t>PLTR</t>
  </si>
  <si>
    <t>Palantir Technologies Inc</t>
  </si>
  <si>
    <t>430.18B</t>
  </si>
  <si>
    <t>152,99</t>
  </si>
  <si>
    <t>4,66%</t>
  </si>
  <si>
    <t>CGAU</t>
  </si>
  <si>
    <t>Centerra Gold Inc</t>
  </si>
  <si>
    <t>Basic Materials</t>
  </si>
  <si>
    <t>Canada</t>
  </si>
  <si>
    <t>4.15B</t>
  </si>
  <si>
    <t>6,77</t>
  </si>
  <si>
    <t>-2,30%</t>
  </si>
  <si>
    <t>5 años</t>
  </si>
  <si>
    <t>DRD</t>
  </si>
  <si>
    <t>DRDGold Ltd ADR</t>
  </si>
  <si>
    <t>South Africa</t>
  </si>
  <si>
    <t>2.06B</t>
  </si>
  <si>
    <t>11,47</t>
  </si>
  <si>
    <t>-1,57%</t>
  </si>
  <si>
    <t>3 años</t>
  </si>
  <si>
    <t>DLO</t>
  </si>
  <si>
    <t>DLocal Limited</t>
  </si>
  <si>
    <t>Uruguay</t>
  </si>
  <si>
    <t>4.35B</t>
  </si>
  <si>
    <t>21,98</t>
  </si>
  <si>
    <t>3,36%</t>
  </si>
  <si>
    <t>SKHY</t>
  </si>
  <si>
    <t>SK Hynix Inc ADR</t>
  </si>
  <si>
    <t>South Korea</t>
  </si>
  <si>
    <t>1207.51B</t>
  </si>
  <si>
    <t>32,356,945</t>
  </si>
  <si>
    <t>L10Y</t>
  </si>
  <si>
    <t>-</t>
  </si>
  <si>
    <t>Morningstar Korea GR KRW</t>
  </si>
  <si>
    <t>VRT</t>
  </si>
  <si>
    <t>Vertiv Holdings Co</t>
  </si>
  <si>
    <t>Industrials</t>
  </si>
  <si>
    <t>Electrical Equipment &amp; Parts</t>
  </si>
  <si>
    <t>110.52B</t>
  </si>
  <si>
    <t>3,117,915</t>
  </si>
  <si>
    <t>L5Y</t>
  </si>
  <si>
    <t>AGI</t>
  </si>
  <si>
    <t>Alamos Gold Inc</t>
  </si>
  <si>
    <t>13.75B</t>
  </si>
  <si>
    <t>11,82</t>
  </si>
  <si>
    <t>-2,03%</t>
  </si>
  <si>
    <t>(promedio en 3 años)</t>
  </si>
  <si>
    <t>Taiwan Semiconductor Manufacturing ADR</t>
  </si>
  <si>
    <t>Taiwan</t>
  </si>
  <si>
    <t>2232.73B</t>
  </si>
  <si>
    <t>8,184,759</t>
  </si>
  <si>
    <t>Morningstar Taiwan GR TWD</t>
  </si>
  <si>
    <t>HMY</t>
  </si>
  <si>
    <t>Harmony Gold Mining Co Ltd ADR</t>
  </si>
  <si>
    <t>12.03B</t>
  </si>
  <si>
    <t>2.690.432</t>
  </si>
  <si>
    <t>10 años (dato de 2021 que coincide con datos mas recientes)</t>
  </si>
  <si>
    <t>AUGO</t>
  </si>
  <si>
    <t>Aura Minerals Inc</t>
  </si>
  <si>
    <t>6.27B</t>
  </si>
  <si>
    <t>21,24</t>
  </si>
  <si>
    <t>-3,46%</t>
  </si>
  <si>
    <t>(promedio en 5 años)</t>
  </si>
  <si>
    <t>AU</t>
  </si>
  <si>
    <t>AngloGold Ashanti Plc</t>
  </si>
  <si>
    <t>48.01B</t>
  </si>
  <si>
    <t>12,72</t>
  </si>
  <si>
    <t>-2,91%</t>
  </si>
  <si>
    <t>NUTX</t>
  </si>
  <si>
    <t>Nutex Health Inc</t>
  </si>
  <si>
    <t>Healthcare</t>
  </si>
  <si>
    <t>Medical Care Facilities</t>
  </si>
  <si>
    <t>1.28B</t>
  </si>
  <si>
    <t>7,39</t>
  </si>
  <si>
    <t>8,33%</t>
  </si>
  <si>
    <t>Promedio en 5 años</t>
  </si>
  <si>
    <t>ANET</t>
  </si>
  <si>
    <t>Arista Networks Inc</t>
  </si>
  <si>
    <t>Computer Hardware</t>
  </si>
  <si>
    <t>256.81B</t>
  </si>
  <si>
    <t>64,2</t>
  </si>
  <si>
    <t>-3,27%</t>
  </si>
  <si>
    <t>(promedio en 10 años)</t>
  </si>
  <si>
    <t>Barrick Mining Corp</t>
  </si>
  <si>
    <t>68.55B</t>
  </si>
  <si>
    <t>10,52</t>
  </si>
  <si>
    <t>-0,78%</t>
  </si>
  <si>
    <t>promedio en 10 años</t>
  </si>
  <si>
    <t>CARE</t>
  </si>
  <si>
    <t>Carter Bankshares Inc</t>
  </si>
  <si>
    <t>724.32M</t>
  </si>
  <si>
    <t>5,63</t>
  </si>
  <si>
    <t>1,05%</t>
  </si>
  <si>
    <t>STRL</t>
  </si>
  <si>
    <t>Sterling Infrastructure Inc</t>
  </si>
  <si>
    <t>Engineering &amp; Construction</t>
  </si>
  <si>
    <t>16.92B</t>
  </si>
  <si>
    <t>530,413</t>
  </si>
  <si>
    <t>CDNA</t>
  </si>
  <si>
    <t>Caredx Inc</t>
  </si>
  <si>
    <t>Diagnostics &amp; Research</t>
  </si>
  <si>
    <t>2.45B</t>
  </si>
  <si>
    <t>22,84</t>
  </si>
  <si>
    <t>0,15%</t>
  </si>
  <si>
    <t>Valero Energy Corp</t>
  </si>
  <si>
    <t>Energy</t>
  </si>
  <si>
    <t>Oil &amp; Gas Refining &amp; Marketing</t>
  </si>
  <si>
    <t>98.74B</t>
  </si>
  <si>
    <t>2,185,265</t>
  </si>
  <si>
    <t>CLS</t>
  </si>
  <si>
    <t>Celestica Inc</t>
  </si>
  <si>
    <t>Electronic Components</t>
  </si>
  <si>
    <t>39.97B</t>
  </si>
  <si>
    <t>36,11</t>
  </si>
  <si>
    <t>2,41%</t>
  </si>
  <si>
    <t>COCO</t>
  </si>
  <si>
    <t>Vita Coco Company Inc</t>
  </si>
  <si>
    <t>Consumer Defensive</t>
  </si>
  <si>
    <t>Beverages - Non-Alcoholic</t>
  </si>
  <si>
    <t>3.74B</t>
  </si>
  <si>
    <t>35,99</t>
  </si>
  <si>
    <t>-1,87%</t>
  </si>
  <si>
    <t>ARGX</t>
  </si>
  <si>
    <t>Argen X SE ADR</t>
  </si>
  <si>
    <t>Biotechnology</t>
  </si>
  <si>
    <t>Netherlands</t>
  </si>
  <si>
    <t>53.61B</t>
  </si>
  <si>
    <t>32,66</t>
  </si>
  <si>
    <t>-2,18%</t>
  </si>
  <si>
    <t>(Promedio en 5 años)</t>
  </si>
  <si>
    <t>QNST</t>
  </si>
  <si>
    <t>QuinStreet Inc</t>
  </si>
  <si>
    <t>Advertising Agencies</t>
  </si>
  <si>
    <t>1.19B</t>
  </si>
  <si>
    <t>14,8</t>
  </si>
  <si>
    <t>-0,24%</t>
  </si>
  <si>
    <t>AMAT</t>
  </si>
  <si>
    <t>Applied Materials Inc</t>
  </si>
  <si>
    <t>Semiconductor Equipment &amp; Materials</t>
  </si>
  <si>
    <t>424.40B</t>
  </si>
  <si>
    <t>50,22</t>
  </si>
  <si>
    <t>-2,48%</t>
  </si>
  <si>
    <t>CENX</t>
  </si>
  <si>
    <t>Century Aluminum Co</t>
  </si>
  <si>
    <t>Aluminum</t>
  </si>
  <si>
    <t>4.59B</t>
  </si>
  <si>
    <t>8,03</t>
  </si>
  <si>
    <t>-3,70%</t>
  </si>
  <si>
    <t>DXCM</t>
  </si>
  <si>
    <t>Dexcom Inc</t>
  </si>
  <si>
    <t>Medical Devices</t>
  </si>
  <si>
    <t>34.52B</t>
  </si>
  <si>
    <t>0,75%</t>
  </si>
  <si>
    <t>SIMO</t>
  </si>
  <si>
    <t>Silicon Motion Technology Corp ADR</t>
  </si>
  <si>
    <t>Hong Kong</t>
  </si>
  <si>
    <t>8.45B</t>
  </si>
  <si>
    <t>1,011,702</t>
  </si>
  <si>
    <t>Morningstar China GR CNY</t>
  </si>
  <si>
    <t>ASML</t>
  </si>
  <si>
    <t>ASML Holding NV</t>
  </si>
  <si>
    <t>712.22B</t>
  </si>
  <si>
    <t>57,53</t>
  </si>
  <si>
    <t>2,09%</t>
  </si>
  <si>
    <t>(promedio en 10años)</t>
  </si>
  <si>
    <t>DAVE</t>
  </si>
  <si>
    <t>Dave Inc</t>
  </si>
  <si>
    <t>4.26B</t>
  </si>
  <si>
    <t>21,64</t>
  </si>
  <si>
    <t>5,56%</t>
  </si>
  <si>
    <t>FIX</t>
  </si>
  <si>
    <t>Comfort Systems USA Inc</t>
  </si>
  <si>
    <t>60.80B</t>
  </si>
  <si>
    <t>MYRG</t>
  </si>
  <si>
    <t>MYR Group Inc</t>
  </si>
  <si>
    <t>5.10B</t>
  </si>
  <si>
    <t>LRCX</t>
  </si>
  <si>
    <t>Lam Research Corp</t>
  </si>
  <si>
    <t>421.71B</t>
  </si>
  <si>
    <t>8.898.765</t>
  </si>
  <si>
    <t>SGHC</t>
  </si>
  <si>
    <t>Super Group (SGHC) Limited</t>
  </si>
  <si>
    <t>Consumer Cyclical</t>
  </si>
  <si>
    <t>Gambling</t>
  </si>
  <si>
    <t>United Kingdom</t>
  </si>
  <si>
    <t>6.65B</t>
  </si>
  <si>
    <t>17,99</t>
  </si>
  <si>
    <t>2,19%</t>
  </si>
  <si>
    <t>IESC</t>
  </si>
  <si>
    <t>IES Holdings Inc</t>
  </si>
  <si>
    <t>14.91B</t>
  </si>
  <si>
    <t>ELMD</t>
  </si>
  <si>
    <t>Electromed Inc</t>
  </si>
  <si>
    <t>352.24M</t>
  </si>
  <si>
    <t>CRDO</t>
  </si>
  <si>
    <t>Credo Technology Group Holding Ltd</t>
  </si>
  <si>
    <t>Cayman Islands</t>
  </si>
  <si>
    <t>49.60B</t>
  </si>
  <si>
    <t>107,26</t>
  </si>
  <si>
    <t>-0,81%</t>
  </si>
  <si>
    <t>273.55B</t>
  </si>
  <si>
    <t>8.540.538</t>
  </si>
  <si>
    <t>Micron Technology Inc</t>
  </si>
  <si>
    <t>1072.73B</t>
  </si>
  <si>
    <t>36.604.357</t>
  </si>
  <si>
    <t>10 años (agosto 2025)</t>
  </si>
  <si>
    <t>TER</t>
  </si>
  <si>
    <t>Teradyne Inc</t>
  </si>
  <si>
    <t>64.18B</t>
  </si>
  <si>
    <t>1,879,469</t>
  </si>
  <si>
    <t>AGX</t>
  </si>
  <si>
    <t>Argan Inc</t>
  </si>
  <si>
    <t>7.84B</t>
  </si>
  <si>
    <t>49,1</t>
  </si>
  <si>
    <t>-2,31%</t>
  </si>
  <si>
    <t>SII</t>
  </si>
  <si>
    <t>Sprott Inc</t>
  </si>
  <si>
    <t>Asset Management</t>
  </si>
  <si>
    <t>3.03B</t>
  </si>
  <si>
    <t>153,965</t>
  </si>
  <si>
    <t>Morningstar Canada GR 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</si>
</sst>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-mmm-yy"/>
    <numFmt numFmtId="166" formatCode="_(&quot;$&quot;\ * #,##0.00_);_(&quot;$&quot;\ * \(#,##0.00\);_(&quot;$&quot;\ * &quot;-&quot;??_);_(@_)"/>
    <numFmt numFmtId="167" formatCode="d-mmmm-yy"/>
  </numFmts>
  <fonts count="17">
    <font>
      <sz val="12.0"/>
      <color theme="1"/>
      <name val="Aptos Narrow"/>
      <scheme val="minor"/>
    </font>
    <font>
      <b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sz val="12.0"/>
      <color theme="1"/>
      <name val="Aptos Narrow"/>
    </font>
    <font/>
    <font>
      <sz val="12.0"/>
      <color theme="1"/>
      <name val="Arial"/>
    </font>
    <font>
      <b/>
      <i/>
      <sz val="12.0"/>
      <color theme="1"/>
      <name val="Aptos Narrow"/>
    </font>
    <font>
      <b/>
      <i/>
      <sz val="12.0"/>
      <color theme="1"/>
      <name val="Arial"/>
    </font>
    <font>
      <color theme="1"/>
      <name val="Aptos Narrow"/>
      <scheme val="minor"/>
    </font>
    <font>
      <u/>
      <sz val="11.0"/>
      <color rgb="FF000000"/>
      <name val="&quot;Aptos Narrow&quot;"/>
    </font>
    <font>
      <sz val="12.0"/>
      <color rgb="FF1A1918"/>
      <name val="MorningstarIntrinsic"/>
    </font>
    <font>
      <sz val="12.0"/>
      <color rgb="FF1A191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vertical="bottom" wrapText="0"/>
    </xf>
    <xf borderId="1" fillId="0" fontId="6" numFmtId="10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readingOrder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2" fillId="2" fontId="8" numFmtId="0" xfId="0" applyAlignment="1" applyBorder="1" applyFill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0" fillId="0" fontId="8" numFmtId="0" xfId="0" applyAlignment="1" applyFont="1">
      <alignment horizontal="center"/>
    </xf>
    <xf borderId="0" fillId="3" fontId="10" numFmtId="0" xfId="0" applyAlignment="1" applyFill="1" applyFont="1">
      <alignment horizontal="center" readingOrder="0"/>
    </xf>
    <xf borderId="0" fillId="4" fontId="10" numFmtId="0" xfId="0" applyAlignment="1" applyFill="1" applyFont="1">
      <alignment horizontal="center" readingOrder="0"/>
    </xf>
    <xf borderId="0" fillId="5" fontId="10" numFmtId="0" xfId="0" applyAlignment="1" applyFill="1" applyFont="1">
      <alignment horizontal="center"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3" xfId="0" applyAlignment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13" numFmtId="0" xfId="0" applyFont="1"/>
    <xf borderId="0" fillId="0" fontId="8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8" numFmtId="10" xfId="0" applyFont="1" applyNumberFormat="1"/>
    <xf borderId="0" fillId="0" fontId="8" numFmtId="0" xfId="0" applyFont="1"/>
    <xf borderId="0" fillId="0" fontId="8" numFmtId="166" xfId="0" applyFont="1" applyNumberFormat="1"/>
    <xf borderId="0" fillId="6" fontId="15" numFmtId="166" xfId="0" applyAlignment="1" applyFill="1" applyFont="1" applyNumberFormat="1">
      <alignment readingOrder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10" numFmtId="0" xfId="0" applyFont="1"/>
    <xf borderId="0" fillId="0" fontId="10" numFmtId="166" xfId="0" applyAlignment="1" applyFont="1" applyNumberFormat="1">
      <alignment readingOrder="0"/>
    </xf>
    <xf borderId="0" fillId="0" fontId="10" numFmtId="2" xfId="0" applyAlignment="1" applyFont="1" applyNumberFormat="1">
      <alignment horizontal="right" vertical="bottom"/>
    </xf>
    <xf quotePrefix="1" borderId="0" fillId="0" fontId="8" numFmtId="0" xfId="0" applyFont="1"/>
    <xf borderId="0" fillId="0" fontId="13" numFmtId="2" xfId="0" applyFont="1" applyNumberFormat="1"/>
    <xf borderId="0" fillId="0" fontId="10" numFmtId="0" xfId="0" applyAlignment="1" applyFont="1">
      <alignment horizontal="right" vertical="bottom"/>
    </xf>
    <xf borderId="0" fillId="0" fontId="4" numFmtId="2" xfId="0" applyAlignment="1" applyFont="1" applyNumberFormat="1">
      <alignment readingOrder="0"/>
    </xf>
    <xf borderId="0" fillId="6" fontId="16" numFmtId="166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hyperlink" Target="https://finviz.com/stock?t=SII&amp;ty=c&amp;p=d&amp;b=1" TargetMode="External"/><Relationship Id="rId42" Type="http://schemas.openxmlformats.org/officeDocument/2006/relationships/hyperlink" Target="https://finviz.com/stock?t=SPOT&amp;ty=c&amp;p=d&amp;b=1" TargetMode="External"/><Relationship Id="rId41" Type="http://schemas.openxmlformats.org/officeDocument/2006/relationships/hyperlink" Target="https://finviz.com/stock?t=SIMO&amp;ty=c&amp;p=d&amp;b=1" TargetMode="External"/><Relationship Id="rId44" Type="http://schemas.openxmlformats.org/officeDocument/2006/relationships/hyperlink" Target="https://finviz.com/stock?t=TER&amp;ty=c&amp;p=d&amp;b=1" TargetMode="External"/><Relationship Id="rId43" Type="http://schemas.openxmlformats.org/officeDocument/2006/relationships/hyperlink" Target="https://finviz.com/stock?t=STRL&amp;ty=c&amp;p=d&amp;b=1" TargetMode="External"/><Relationship Id="rId46" Type="http://schemas.openxmlformats.org/officeDocument/2006/relationships/hyperlink" Target="https://finviz.com/stock?t=TSM&amp;ty=c&amp;p=d&amp;b=1" TargetMode="External"/><Relationship Id="rId45" Type="http://schemas.openxmlformats.org/officeDocument/2006/relationships/hyperlink" Target="https://finviz.com/stock?t=TOST&amp;ty=c&amp;p=d&amp;b=1" TargetMode="External"/><Relationship Id="rId1" Type="http://schemas.openxmlformats.org/officeDocument/2006/relationships/hyperlink" Target="https://finviz.com/stock?t=AGI&amp;ty=c&amp;p=d&amp;b=1" TargetMode="External"/><Relationship Id="rId2" Type="http://schemas.openxmlformats.org/officeDocument/2006/relationships/hyperlink" Target="https://finviz.com/stock?t=AGX&amp;ty=c&amp;p=d&amp;b=1" TargetMode="External"/><Relationship Id="rId3" Type="http://schemas.openxmlformats.org/officeDocument/2006/relationships/hyperlink" Target="https://finviz.com/stock?t=AMAT&amp;ty=c&amp;p=d&amp;b=1" TargetMode="External"/><Relationship Id="rId4" Type="http://schemas.openxmlformats.org/officeDocument/2006/relationships/hyperlink" Target="https://finviz.com/stock?t=ANET&amp;ty=c&amp;p=d&amp;b=1" TargetMode="External"/><Relationship Id="rId9" Type="http://schemas.openxmlformats.org/officeDocument/2006/relationships/hyperlink" Target="https://finviz.com/stock?t=B&amp;ty=c&amp;p=d&amp;b=1" TargetMode="External"/><Relationship Id="rId48" Type="http://schemas.openxmlformats.org/officeDocument/2006/relationships/hyperlink" Target="https://finviz.com/stock?t=VRT&amp;ty=c&amp;p=d&amp;b=1" TargetMode="External"/><Relationship Id="rId47" Type="http://schemas.openxmlformats.org/officeDocument/2006/relationships/hyperlink" Target="https://finviz.com/stock?t=VLO&amp;ty=c&amp;p=d&amp;b=1" TargetMode="External"/><Relationship Id="rId49" Type="http://schemas.openxmlformats.org/officeDocument/2006/relationships/hyperlink" Target="https://finviz.com/stock?t=VLO&amp;ty=c&amp;p=d&amp;b=1" TargetMode="External"/><Relationship Id="rId5" Type="http://schemas.openxmlformats.org/officeDocument/2006/relationships/hyperlink" Target="https://finviz.com/stock?t=ARGX&amp;ty=c&amp;p=d&amp;b=1" TargetMode="External"/><Relationship Id="rId6" Type="http://schemas.openxmlformats.org/officeDocument/2006/relationships/hyperlink" Target="https://finviz.com/stock?t=ASML&amp;ty=c&amp;p=d&amp;b=1" TargetMode="External"/><Relationship Id="rId7" Type="http://schemas.openxmlformats.org/officeDocument/2006/relationships/hyperlink" Target="https://finviz.com/stock?t=AU&amp;ty=c&amp;p=d&amp;b=1" TargetMode="External"/><Relationship Id="rId8" Type="http://schemas.openxmlformats.org/officeDocument/2006/relationships/hyperlink" Target="https://finviz.com/stock?t=AUGO&amp;ty=c&amp;p=d&amp;b=1" TargetMode="External"/><Relationship Id="rId31" Type="http://schemas.openxmlformats.org/officeDocument/2006/relationships/hyperlink" Target="https://finviz.com/stock?t=NUTX&amp;ty=c&amp;p=d&amp;b=1" TargetMode="External"/><Relationship Id="rId30" Type="http://schemas.openxmlformats.org/officeDocument/2006/relationships/hyperlink" Target="https://finviz.com/stock?t=NU&amp;ty=c&amp;p=d&amp;b=1" TargetMode="External"/><Relationship Id="rId33" Type="http://schemas.openxmlformats.org/officeDocument/2006/relationships/hyperlink" Target="https://finviz.com/stock?t=PLTR&amp;ty=c&amp;p=d&amp;b=1" TargetMode="External"/><Relationship Id="rId32" Type="http://schemas.openxmlformats.org/officeDocument/2006/relationships/hyperlink" Target="https://finviz.com/stock?t=NVDA&amp;ty=c&amp;p=d&amp;b=1" TargetMode="External"/><Relationship Id="rId35" Type="http://schemas.openxmlformats.org/officeDocument/2006/relationships/hyperlink" Target="https://finviz.com/stock?t=RDDT&amp;ty=c&amp;p=d&amp;b=1" TargetMode="External"/><Relationship Id="rId34" Type="http://schemas.openxmlformats.org/officeDocument/2006/relationships/hyperlink" Target="https://finviz.com/stock?t=QNST&amp;ty=c&amp;p=d&amp;b=1" TargetMode="External"/><Relationship Id="rId37" Type="http://schemas.openxmlformats.org/officeDocument/2006/relationships/hyperlink" Target="https://finviz.com/stock?t=RSSS&amp;ty=c&amp;p=d&amp;b=1" TargetMode="External"/><Relationship Id="rId36" Type="http://schemas.openxmlformats.org/officeDocument/2006/relationships/hyperlink" Target="https://finviz.com/stock?t=RELY&amp;ty=c&amp;p=d&amp;b=1" TargetMode="External"/><Relationship Id="rId39" Type="http://schemas.openxmlformats.org/officeDocument/2006/relationships/hyperlink" Target="https://finviz.com/stock?t=SGHC&amp;ty=c&amp;p=d&amp;b=1" TargetMode="External"/><Relationship Id="rId38" Type="http://schemas.openxmlformats.org/officeDocument/2006/relationships/hyperlink" Target="https://finviz.com/stock?t=SEZL&amp;ty=c&amp;p=d&amp;b=1" TargetMode="External"/><Relationship Id="rId20" Type="http://schemas.openxmlformats.org/officeDocument/2006/relationships/hyperlink" Target="https://finviz.com/stock?t=DXCM&amp;ty=c&amp;p=d&amp;b=1" TargetMode="External"/><Relationship Id="rId22" Type="http://schemas.openxmlformats.org/officeDocument/2006/relationships/hyperlink" Target="https://finviz.com/stock?t=FIX&amp;ty=c&amp;p=d&amp;b=1" TargetMode="External"/><Relationship Id="rId21" Type="http://schemas.openxmlformats.org/officeDocument/2006/relationships/hyperlink" Target="https://finviz.com/stock?t=ELMD&amp;ty=c&amp;p=d&amp;b=1" TargetMode="External"/><Relationship Id="rId24" Type="http://schemas.openxmlformats.org/officeDocument/2006/relationships/hyperlink" Target="https://finviz.com/stock?t=IESC&amp;ty=c&amp;p=d&amp;b=1" TargetMode="External"/><Relationship Id="rId23" Type="http://schemas.openxmlformats.org/officeDocument/2006/relationships/hyperlink" Target="https://finviz.com/stock?t=HMY&amp;ty=c&amp;p=d&amp;b=1" TargetMode="External"/><Relationship Id="rId26" Type="http://schemas.openxmlformats.org/officeDocument/2006/relationships/hyperlink" Target="https://finviz.com/stock?t=LRCX&amp;ty=c&amp;p=d&amp;b=1" TargetMode="External"/><Relationship Id="rId25" Type="http://schemas.openxmlformats.org/officeDocument/2006/relationships/hyperlink" Target="https://finviz.com/stock?t=KLAC&amp;ty=c&amp;p=d&amp;b=1" TargetMode="External"/><Relationship Id="rId28" Type="http://schemas.openxmlformats.org/officeDocument/2006/relationships/hyperlink" Target="https://finviz.com/stock?t=MYRG&amp;ty=c&amp;p=d&amp;b=1" TargetMode="External"/><Relationship Id="rId27" Type="http://schemas.openxmlformats.org/officeDocument/2006/relationships/hyperlink" Target="https://finviz.com/stock?t=MU&amp;ty=c&amp;p=d&amp;b=1" TargetMode="External"/><Relationship Id="rId29" Type="http://schemas.openxmlformats.org/officeDocument/2006/relationships/hyperlink" Target="https://finviz.com/stock?t=NFLX&amp;ty=c&amp;p=d&amp;b=1" TargetMode="External"/><Relationship Id="rId50" Type="http://schemas.openxmlformats.org/officeDocument/2006/relationships/hyperlink" Target="https://finviz.com/stock?t=VRT&amp;ty=c&amp;p=d&amp;b=1" TargetMode="External"/><Relationship Id="rId11" Type="http://schemas.openxmlformats.org/officeDocument/2006/relationships/hyperlink" Target="https://finviz.com/stock?t=CDNA&amp;ty=c&amp;p=d&amp;b=1" TargetMode="External"/><Relationship Id="rId10" Type="http://schemas.openxmlformats.org/officeDocument/2006/relationships/hyperlink" Target="https://finviz.com/stock?t=CARE&amp;ty=c&amp;p=d&amp;b=1" TargetMode="External"/><Relationship Id="rId13" Type="http://schemas.openxmlformats.org/officeDocument/2006/relationships/hyperlink" Target="https://finviz.com/stock?t=CGAU&amp;ty=c&amp;p=d&amp;b=1" TargetMode="External"/><Relationship Id="rId12" Type="http://schemas.openxmlformats.org/officeDocument/2006/relationships/hyperlink" Target="https://finviz.com/stock?t=CENX&amp;ty=c&amp;p=d&amp;b=1" TargetMode="External"/><Relationship Id="rId15" Type="http://schemas.openxmlformats.org/officeDocument/2006/relationships/hyperlink" Target="https://finviz.com/stock?t=COCO&amp;ty=c&amp;p=d&amp;b=1" TargetMode="External"/><Relationship Id="rId14" Type="http://schemas.openxmlformats.org/officeDocument/2006/relationships/hyperlink" Target="https://finviz.com/stock?t=CLS&amp;ty=c&amp;p=d&amp;b=1" TargetMode="External"/><Relationship Id="rId17" Type="http://schemas.openxmlformats.org/officeDocument/2006/relationships/hyperlink" Target="https://finviz.com/stock?t=DAVE&amp;ty=c&amp;p=d&amp;b=1" TargetMode="External"/><Relationship Id="rId16" Type="http://schemas.openxmlformats.org/officeDocument/2006/relationships/hyperlink" Target="https://finviz.com/stock?t=CRDO&amp;ty=c&amp;p=d&amp;b=1" TargetMode="External"/><Relationship Id="rId19" Type="http://schemas.openxmlformats.org/officeDocument/2006/relationships/hyperlink" Target="https://finviz.com/stock?t=DRD&amp;ty=c&amp;p=d&amp;b=1" TargetMode="External"/><Relationship Id="rId18" Type="http://schemas.openxmlformats.org/officeDocument/2006/relationships/hyperlink" Target="https://finviz.com/stock?t=DLO&amp;ty=c&amp;p=d&amp;b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04800" cy="304800"/>
    <xdr:sp>
      <xdr:nvSpPr>
        <xdr:cNvPr descr="AGI logo" id="3" name="Shape 3">
          <a:hlinkClick r:id="rId1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GX logo" id="4" name="Shape 4">
          <a:hlinkClick r:id="rId2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MAT logo" id="5" name="Shape 5">
          <a:hlinkClick r:id="rId3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NET logo" id="6" name="Shape 6">
          <a:hlinkClick r:id="rId4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RGX logo" id="7" name="Shape 7">
          <a:hlinkClick r:id="rId5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SML logo" id="8" name="Shape 8">
          <a:hlinkClick r:id="rId6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U logo" id="9" name="Shape 9">
          <a:hlinkClick r:id="rId7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AUGO logo" id="10" name="Shape 10">
          <a:hlinkClick r:id="rId8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B logo" id="11" name="Shape 11">
          <a:hlinkClick r:id="rId9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304800" cy="304800"/>
    <xdr:sp>
      <xdr:nvSpPr>
        <xdr:cNvPr descr="CARE logo" id="12" name="Shape 12">
          <a:hlinkClick r:id="rId10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304800" cy="304800"/>
    <xdr:sp>
      <xdr:nvSpPr>
        <xdr:cNvPr descr="CDNA logo" id="13" name="Shape 13">
          <a:hlinkClick r:id="rId11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304800" cy="304800"/>
    <xdr:sp>
      <xdr:nvSpPr>
        <xdr:cNvPr descr="CENX logo" id="14" name="Shape 14">
          <a:hlinkClick r:id="rId12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304800" cy="304800"/>
    <xdr:sp>
      <xdr:nvSpPr>
        <xdr:cNvPr descr="CGAU logo" id="15" name="Shape 15">
          <a:hlinkClick r:id="rId13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0</xdr:rowOff>
    </xdr:from>
    <xdr:ext cx="304800" cy="304800"/>
    <xdr:sp>
      <xdr:nvSpPr>
        <xdr:cNvPr descr="CLS logo" id="16" name="Shape 16">
          <a:hlinkClick r:id="rId14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0</xdr:rowOff>
    </xdr:from>
    <xdr:ext cx="304800" cy="304800"/>
    <xdr:sp>
      <xdr:nvSpPr>
        <xdr:cNvPr descr="COCO logo" id="17" name="Shape 17">
          <a:hlinkClick r:id="rId15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0</xdr:rowOff>
    </xdr:from>
    <xdr:ext cx="304800" cy="304800"/>
    <xdr:sp>
      <xdr:nvSpPr>
        <xdr:cNvPr descr="CRDO logo" id="18" name="Shape 18">
          <a:hlinkClick r:id="rId16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0</xdr:rowOff>
    </xdr:from>
    <xdr:ext cx="304800" cy="304800"/>
    <xdr:sp>
      <xdr:nvSpPr>
        <xdr:cNvPr descr="DAVE logo" id="19" name="Shape 19">
          <a:hlinkClick r:id="rId17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0</xdr:rowOff>
    </xdr:from>
    <xdr:ext cx="304800" cy="304800"/>
    <xdr:sp>
      <xdr:nvSpPr>
        <xdr:cNvPr descr="DLO logo" id="20" name="Shape 20">
          <a:hlinkClick r:id="rId18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DRD logo" id="21" name="Shape 21">
          <a:hlinkClick r:id="rId19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DXCM logo" id="22" name="Shape 22">
          <a:hlinkClick r:id="rId20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ELMD logo" id="23" name="Shape 23">
          <a:hlinkClick r:id="rId21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FIX logo" id="24" name="Shape 24">
          <a:hlinkClick r:id="rId22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HMY logo" id="25" name="Shape 25">
          <a:hlinkClick r:id="rId23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IESC logo" id="26" name="Shape 26">
          <a:hlinkClick r:id="rId24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04800" cy="304800"/>
    <xdr:sp>
      <xdr:nvSpPr>
        <xdr:cNvPr descr="KLAC logo" id="27" name="Shape 27">
          <a:hlinkClick r:id="rId25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LRCX logo" id="28" name="Shape 28">
          <a:hlinkClick r:id="rId26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MU logo" id="29" name="Shape 29">
          <a:hlinkClick r:id="rId27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MYRG logo" id="30" name="Shape 30">
          <a:hlinkClick r:id="rId28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NFLX logo" id="31" name="Shape 31">
          <a:hlinkClick r:id="rId29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NU logo" id="32" name="Shape 32">
          <a:hlinkClick r:id="rId30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NUTX logo" id="33" name="Shape 33">
          <a:hlinkClick r:id="rId31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NVDA logo" id="34" name="Shape 34">
          <a:hlinkClick r:id="rId32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PLTR logo" id="35" name="Shape 35">
          <a:hlinkClick r:id="rId33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QNST logo" id="36" name="Shape 36">
          <a:hlinkClick r:id="rId34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RDDT logo" id="37" name="Shape 37">
          <a:hlinkClick r:id="rId35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RELY logo" id="38" name="Shape 38">
          <a:hlinkClick r:id="rId36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RSSS logo" id="39" name="Shape 39">
          <a:hlinkClick r:id="rId37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SEZL logo" id="40" name="Shape 40">
          <a:hlinkClick r:id="rId38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SGHC logo" id="41" name="Shape 41">
          <a:hlinkClick r:id="rId39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304800"/>
    <xdr:sp>
      <xdr:nvSpPr>
        <xdr:cNvPr descr="SII logo" id="42" name="Shape 42">
          <a:hlinkClick r:id="rId40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304800" cy="304800"/>
    <xdr:sp>
      <xdr:nvSpPr>
        <xdr:cNvPr descr="SIMO logo" id="43" name="Shape 43">
          <a:hlinkClick r:id="rId41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304800" cy="304800"/>
    <xdr:sp>
      <xdr:nvSpPr>
        <xdr:cNvPr descr="SPOT logo" id="44" name="Shape 44">
          <a:hlinkClick r:id="rId42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304800" cy="304800"/>
    <xdr:sp>
      <xdr:nvSpPr>
        <xdr:cNvPr descr="STRL logo" id="45" name="Shape 45">
          <a:hlinkClick r:id="rId43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0</xdr:rowOff>
    </xdr:from>
    <xdr:ext cx="304800" cy="304800"/>
    <xdr:sp>
      <xdr:nvSpPr>
        <xdr:cNvPr descr="TER logo" id="46" name="Shape 46">
          <a:hlinkClick r:id="rId44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0</xdr:rowOff>
    </xdr:from>
    <xdr:ext cx="304800" cy="304800"/>
    <xdr:sp>
      <xdr:nvSpPr>
        <xdr:cNvPr descr="TOST logo" id="47" name="Shape 47">
          <a:hlinkClick r:id="rId45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304800" cy="304800"/>
    <xdr:sp>
      <xdr:nvSpPr>
        <xdr:cNvPr descr="TSM logo" id="48" name="Shape 48">
          <a:hlinkClick r:id="rId46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304800" cy="304800"/>
    <xdr:sp>
      <xdr:nvSpPr>
        <xdr:cNvPr descr="VLO logo" id="49" name="Shape 49">
          <a:hlinkClick r:id="rId47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304800" cy="304800"/>
    <xdr:sp>
      <xdr:nvSpPr>
        <xdr:cNvPr descr="VRT logo" id="50" name="Shape 50">
          <a:hlinkClick r:id="rId48"/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314325" cy="314325"/>
    <xdr:sp>
      <xdr:nvSpPr>
        <xdr:cNvPr descr="VLO logo" id="51" name="Shape 51">
          <a:hlinkClick r:id="rId49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314325" cy="314325"/>
    <xdr:sp>
      <xdr:nvSpPr>
        <xdr:cNvPr descr="VRT logo" id="52" name="Shape 52">
          <a:hlinkClick r:id="rId50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.gov/cgi-bin/browse-edgar?action=getcompany&amp;company=tsmc+arizona&amp;type=424B5&amp;dateb=&amp;owner=include&amp;count=40" TargetMode="External"/><Relationship Id="rId2" Type="http://schemas.openxmlformats.org/officeDocument/2006/relationships/hyperlink" Target="https://www.sec.gov/Archives/edgar/data/319201/000119312522177796/d311787dfwp.htm" TargetMode="External"/><Relationship Id="rId3" Type="http://schemas.openxmlformats.org/officeDocument/2006/relationships/hyperlink" Target="https://www.sec.gov/cgi-bin/browse-edgar?action=getcompany&amp;CIK=756894&amp;type=424B&amp;dateb=&amp;owner=include&amp;count=100" TargetMode="External"/><Relationship Id="rId4" Type="http://schemas.openxmlformats.org/officeDocument/2006/relationships/hyperlink" Target="https://www.sec.gov/Archives/edgar/data/1065280/000114036124035134/ny20032950x4_424b5.htm" TargetMode="External"/><Relationship Id="rId9" Type="http://schemas.openxmlformats.org/officeDocument/2006/relationships/hyperlink" Target="https://www.sec.gov/cgi-bin/browse-edgar?action=getcompany&amp;CIK=0000019617&amp;type=424B&amp;count=100" TargetMode="External"/><Relationship Id="rId5" Type="http://schemas.openxmlformats.org/officeDocument/2006/relationships/hyperlink" Target="https://www.sec.gov/cgi-bin/browse-edgar?action=getcompany&amp;CIK=1035002&amp;type=424B&amp;dateb=&amp;owner=include&amp;count=100" TargetMode="External"/><Relationship Id="rId6" Type="http://schemas.openxmlformats.org/officeDocument/2006/relationships/hyperlink" Target="https://www.sec.gov/Archives/edgar/data/723125/000110465923042888/tm2311342-3_424b5.htm" TargetMode="External"/><Relationship Id="rId7" Type="http://schemas.openxmlformats.org/officeDocument/2006/relationships/hyperlink" Target="https://www.sec.gov/Archives/edgar/data/320193/000119312519238922/d751814d424b2.htm" TargetMode="External"/><Relationship Id="rId8" Type="http://schemas.openxmlformats.org/officeDocument/2006/relationships/hyperlink" Target="https://www.sec.gov/cgi-bin/browse-edgar?action=getcompany&amp;CIK=0000093410&amp;type=424B&amp;count=100" TargetMode="External"/><Relationship Id="rId11" Type="http://schemas.openxmlformats.org/officeDocument/2006/relationships/hyperlink" Target="https://www.sec.gov/Archives/edgar/data/320193/000114036123023700/ny20007635x3_424b2.htm" TargetMode="External"/><Relationship Id="rId10" Type="http://schemas.openxmlformats.org/officeDocument/2006/relationships/hyperlink" Target="https://www.sec.gov/cgi-bin/browse-edgar?action=getcompany&amp;CIK=0000021344&amp;type=424B&amp;count=100" TargetMode="External"/><Relationship Id="rId13" Type="http://schemas.openxmlformats.org/officeDocument/2006/relationships/hyperlink" Target="https://www.sec.gov/cgi-bin/browse-edgar?action=getcompany&amp;CIK=0001341439&amp;type=424B&amp;count=100" TargetMode="External"/><Relationship Id="rId12" Type="http://schemas.openxmlformats.org/officeDocument/2006/relationships/hyperlink" Target="https://www.sec.gov/cgi-bin/browse-edgar?action=getcompany&amp;CIK=0001166691&amp;type=424B&amp;count=100" TargetMode="Externa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6.78"/>
    <col customWidth="1" min="2" max="2" width="36.0"/>
    <col customWidth="1" min="3" max="3" width="21.67"/>
    <col customWidth="1" min="4" max="4" width="32.67"/>
    <col customWidth="1" min="5" max="5" width="10.56"/>
    <col customWidth="1" min="6" max="6" width="11.33"/>
    <col customWidth="1" min="7" max="7" width="6.11"/>
    <col customWidth="1" min="8" max="8" width="7.11"/>
    <col customWidth="1" min="9" max="9" width="9.78"/>
    <col customWidth="1" min="10" max="10" width="10.11"/>
    <col customWidth="1" min="11" max="11" width="34.67"/>
    <col customWidth="1" min="12" max="12" width="16.11"/>
    <col customWidth="1" min="13" max="13" width="16.78"/>
    <col customWidth="1" min="14" max="14" width="9.78"/>
    <col customWidth="1" min="15" max="15" width="14.11"/>
    <col customWidth="1" min="16" max="16" width="11.11"/>
    <col customWidth="1" min="17" max="17" width="12.33"/>
    <col customWidth="1" min="18" max="18" width="8.44"/>
    <col customWidth="1" min="19" max="19" width="25.78"/>
    <col customWidth="1" min="20" max="20" width="9.67"/>
    <col customWidth="1" min="21" max="21" width="15.67"/>
    <col customWidth="1" min="22" max="22" width="9.0"/>
    <col customWidth="1" min="23" max="24" width="11.0"/>
    <col customWidth="1" min="25" max="25" width="9.0"/>
    <col customWidth="1" min="26" max="26" width="18.11"/>
    <col customWidth="1" min="27" max="27" width="8.11"/>
    <col customWidth="1" min="28" max="28" width="12.44"/>
    <col customWidth="1" min="29" max="29" width="10.11"/>
    <col customWidth="1" min="30" max="30" width="17.11"/>
    <col customWidth="1" min="31" max="32" width="18.78"/>
    <col customWidth="1" min="33" max="33" width="8.11"/>
    <col customWidth="1" min="34" max="34" width="13.0"/>
    <col customWidth="1" min="35" max="36" width="11.0"/>
    <col customWidth="1" min="37" max="37" width="10.22"/>
    <col customWidth="1" min="38" max="47" width="14.56"/>
  </cols>
  <sheetData>
    <row r="1" ht="15.75" customHeight="1">
      <c r="Z1" s="16" t="s">
        <v>54</v>
      </c>
      <c r="AA1" s="17"/>
      <c r="AB1" s="17"/>
      <c r="AC1" s="17"/>
      <c r="AD1" s="17"/>
      <c r="AE1" s="17"/>
      <c r="AF1" s="18"/>
      <c r="AG1" s="19" t="s">
        <v>60</v>
      </c>
      <c r="AK1" s="20" t="s">
        <v>61</v>
      </c>
      <c r="AN1" s="21" t="s">
        <v>63</v>
      </c>
      <c r="AP1" s="21" t="s">
        <v>65</v>
      </c>
      <c r="AR1" s="21" t="s">
        <v>66</v>
      </c>
      <c r="AT1" s="22" t="s">
        <v>67</v>
      </c>
    </row>
    <row r="2" ht="15.75" customHeight="1">
      <c r="A2" s="23" t="s">
        <v>20</v>
      </c>
      <c r="B2" s="23" t="s">
        <v>70</v>
      </c>
      <c r="C2" s="23" t="s">
        <v>28</v>
      </c>
      <c r="D2" s="23" t="s">
        <v>72</v>
      </c>
      <c r="E2" s="23" t="s">
        <v>74</v>
      </c>
      <c r="F2" s="23" t="s">
        <v>76</v>
      </c>
      <c r="G2" s="23" t="s">
        <v>77</v>
      </c>
      <c r="H2" s="23" t="s">
        <v>78</v>
      </c>
      <c r="I2" s="23" t="s">
        <v>79</v>
      </c>
      <c r="J2" s="23" t="s">
        <v>80</v>
      </c>
      <c r="K2" s="23" t="s">
        <v>81</v>
      </c>
      <c r="L2" s="23" t="s">
        <v>82</v>
      </c>
      <c r="M2" s="23" t="s">
        <v>83</v>
      </c>
      <c r="N2" s="23" t="s">
        <v>84</v>
      </c>
      <c r="O2" s="23" t="s">
        <v>85</v>
      </c>
      <c r="P2" s="23" t="s">
        <v>86</v>
      </c>
      <c r="Q2" s="23" t="s">
        <v>87</v>
      </c>
      <c r="R2" s="23" t="s">
        <v>88</v>
      </c>
      <c r="S2" s="23" t="s">
        <v>89</v>
      </c>
      <c r="T2" s="23" t="s">
        <v>90</v>
      </c>
      <c r="U2" s="23" t="s">
        <v>91</v>
      </c>
      <c r="V2" s="23" t="s">
        <v>92</v>
      </c>
      <c r="W2" s="23" t="s">
        <v>93</v>
      </c>
      <c r="X2" s="23" t="s">
        <v>94</v>
      </c>
      <c r="Y2" s="23" t="s">
        <v>96</v>
      </c>
      <c r="Z2" s="23" t="s">
        <v>97</v>
      </c>
      <c r="AA2" s="23" t="s">
        <v>98</v>
      </c>
      <c r="AB2" s="23" t="s">
        <v>100</v>
      </c>
      <c r="AC2" s="23" t="s">
        <v>101</v>
      </c>
      <c r="AD2" s="23" t="s">
        <v>102</v>
      </c>
      <c r="AE2" s="23" t="s">
        <v>103</v>
      </c>
      <c r="AF2" s="24" t="s">
        <v>104</v>
      </c>
      <c r="AG2" s="23" t="s">
        <v>106</v>
      </c>
      <c r="AH2" s="23" t="s">
        <v>107</v>
      </c>
      <c r="AI2" s="24" t="s">
        <v>109</v>
      </c>
      <c r="AJ2" s="24" t="s">
        <v>104</v>
      </c>
      <c r="AK2" s="24" t="s">
        <v>111</v>
      </c>
      <c r="AL2" s="24" t="s">
        <v>112</v>
      </c>
      <c r="AM2" s="24" t="s">
        <v>104</v>
      </c>
      <c r="AN2" s="24" t="s">
        <v>114</v>
      </c>
      <c r="AO2" s="24" t="s">
        <v>104</v>
      </c>
      <c r="AP2" s="24" t="s">
        <v>114</v>
      </c>
      <c r="AQ2" s="24" t="s">
        <v>104</v>
      </c>
      <c r="AR2" s="24" t="s">
        <v>114</v>
      </c>
      <c r="AS2" s="24" t="s">
        <v>104</v>
      </c>
      <c r="AT2" s="24" t="s">
        <v>114</v>
      </c>
      <c r="AU2" s="24" t="s">
        <v>115</v>
      </c>
    </row>
    <row r="3" ht="15.75" customHeight="1">
      <c r="A3" s="25" t="s">
        <v>116</v>
      </c>
      <c r="B3" s="25" t="s">
        <v>117</v>
      </c>
      <c r="C3" s="25" t="s">
        <v>118</v>
      </c>
      <c r="D3" s="25" t="s">
        <v>119</v>
      </c>
      <c r="E3" s="25" t="s">
        <v>120</v>
      </c>
      <c r="F3" s="25" t="s">
        <v>121</v>
      </c>
      <c r="G3" s="25" t="s">
        <v>122</v>
      </c>
      <c r="H3" s="25">
        <v>158.12</v>
      </c>
      <c r="I3" s="25" t="s">
        <v>124</v>
      </c>
      <c r="J3" s="26">
        <v>4537574.0</v>
      </c>
      <c r="K3" s="25">
        <v>0.01</v>
      </c>
      <c r="L3" s="4">
        <v>0.0</v>
      </c>
      <c r="M3" s="28" t="s">
        <v>125</v>
      </c>
      <c r="N3" s="25">
        <v>0.0</v>
      </c>
      <c r="O3" s="25">
        <v>0.7</v>
      </c>
      <c r="P3" s="25">
        <v>177.78</v>
      </c>
      <c r="Q3" s="25" t="s">
        <v>127</v>
      </c>
      <c r="R3" s="29">
        <v>1.8</v>
      </c>
      <c r="U3" s="28">
        <f t="shared" ref="U3:U4" si="1">IF(E3="USA",R3,"completar")</f>
        <v>1.8</v>
      </c>
      <c r="V3" s="28">
        <v>10.0</v>
      </c>
      <c r="W3" s="29">
        <v>5.95</v>
      </c>
      <c r="X3" s="29">
        <v>41.41</v>
      </c>
      <c r="Y3" s="28">
        <v>4.63</v>
      </c>
      <c r="Z3" s="4">
        <f t="shared" ref="Z3:Z51" si="2">VLOOKUP(C3,$C$53:$D$61,2,0)</f>
        <v>5</v>
      </c>
      <c r="AA3" s="28">
        <f t="shared" ref="AA3:AA51" si="3">Y3+U3*(V3-Y3)</f>
        <v>14.296</v>
      </c>
      <c r="AB3" s="28">
        <f t="shared" ref="AB3:AB51" si="4">1/((AA3-Z3)/100)</f>
        <v>10.75731497</v>
      </c>
      <c r="AC3" s="32">
        <f t="shared" ref="AC3:AC51" si="5">(AB3/X3)^(1/AD3)-1</f>
        <v>-0.1751571078</v>
      </c>
      <c r="AD3" s="4">
        <v>7.0</v>
      </c>
      <c r="AE3" s="32">
        <f t="shared" ref="AE3:AE51" si="6">N3/100+P3/100+O3/100+AC3</f>
        <v>1.609642892</v>
      </c>
      <c r="AF3" s="33">
        <f t="shared" ref="AF3:AF51" si="7">RANK(AE3,AE$3:AE$51)</f>
        <v>4</v>
      </c>
      <c r="AG3" s="28">
        <f t="shared" ref="AG3:AG51" si="8">1.16+Y3</f>
        <v>5.79</v>
      </c>
      <c r="AH3" s="34">
        <f t="shared" ref="AH3:AH51" si="9">W3*(8.5+2*P3)*4.4/AG3</f>
        <v>1646.129672</v>
      </c>
      <c r="AI3" s="32">
        <f t="shared" ref="AI3:AI51" si="10">AH3/$H3-1</f>
        <v>9.410635415</v>
      </c>
      <c r="AJ3" s="33">
        <f t="shared" ref="AJ3:AJ51" si="11">RANK(AI3,AI$3:AI$51)</f>
        <v>5</v>
      </c>
      <c r="AK3" s="35">
        <v>200.0</v>
      </c>
      <c r="AL3" s="32">
        <f t="shared" ref="AL3:AL51" si="12">AK3/$H3-1</f>
        <v>0.26486213</v>
      </c>
      <c r="AM3" s="33">
        <f t="shared" ref="AM3:AM51" si="13">RANK(AL3,AL$3:AL$51)</f>
        <v>1</v>
      </c>
      <c r="AN3" s="33">
        <f t="shared" ref="AN3:AN51" si="14">1/(60+AF3)+1/(60+AJ3)+1/(60+AM3)</f>
        <v>0.04740305801</v>
      </c>
      <c r="AO3" s="33">
        <f t="shared" ref="AO3:AO51" si="15">RANK(AN3,AN$3:AN$51)</f>
        <v>1</v>
      </c>
      <c r="AP3" s="33">
        <f t="shared" ref="AP3:AP51" si="16">(49-AF3)+(49-AJ3)+(49-AM3)</f>
        <v>137</v>
      </c>
      <c r="AQ3" s="33">
        <f t="shared" ref="AQ3:AQ51" si="17">RANK(AP3,AP$3:AP$51)</f>
        <v>1</v>
      </c>
      <c r="AR3" s="33">
        <f t="shared" ref="AR3:AR51" si="18">SUMPRODUCT(--(((AF3&lt;$AF$3:$AF$51)+(AJ3&lt;$AJ$3:$AJ$51)+(AM3&lt;$AM$3:$AM$51))&gt;=2))
-SUMPRODUCT(--(((AF3&gt;$AF$3:$AF$51)+(AJ3&gt;$AJ$3:$AJ$51)+(AM3&gt;$AM$3:$AM$51))&gt;=2))</f>
        <v>44</v>
      </c>
      <c r="AS3" s="33">
        <f t="shared" ref="AS3:AS51" si="19">RANK(AR3,AR$3:AR$51)</f>
        <v>3</v>
      </c>
      <c r="AT3" s="33">
        <v>1.0</v>
      </c>
      <c r="AU3" s="33"/>
    </row>
    <row r="4" ht="15.75" customHeight="1">
      <c r="A4" s="25" t="s">
        <v>179</v>
      </c>
      <c r="B4" s="25" t="s">
        <v>180</v>
      </c>
      <c r="C4" s="25" t="s">
        <v>181</v>
      </c>
      <c r="D4" s="25" t="s">
        <v>182</v>
      </c>
      <c r="E4" s="25" t="s">
        <v>120</v>
      </c>
      <c r="F4" s="25" t="s">
        <v>183</v>
      </c>
      <c r="G4" s="25" t="s">
        <v>184</v>
      </c>
      <c r="H4" s="25">
        <v>25.62</v>
      </c>
      <c r="I4" s="25" t="s">
        <v>185</v>
      </c>
      <c r="J4" s="26">
        <v>3243122.0</v>
      </c>
      <c r="K4" s="25">
        <v>0.03</v>
      </c>
      <c r="L4" s="25">
        <v>16.44</v>
      </c>
      <c r="M4" s="28" t="s">
        <v>125</v>
      </c>
      <c r="N4" s="25">
        <v>0.0</v>
      </c>
      <c r="O4" s="25">
        <v>0.43</v>
      </c>
      <c r="P4" s="4">
        <v>300.0</v>
      </c>
      <c r="Q4" s="25" t="s">
        <v>127</v>
      </c>
      <c r="R4" s="29">
        <v>1.78</v>
      </c>
      <c r="U4" s="28">
        <f t="shared" si="1"/>
        <v>1.78</v>
      </c>
      <c r="V4" s="28">
        <v>10.0</v>
      </c>
      <c r="W4" s="29">
        <v>1.91</v>
      </c>
      <c r="X4" s="29">
        <v>18.93</v>
      </c>
      <c r="Y4" s="28">
        <v>4.63</v>
      </c>
      <c r="Z4" s="4">
        <f t="shared" si="2"/>
        <v>7</v>
      </c>
      <c r="AA4" s="28">
        <f t="shared" si="3"/>
        <v>14.1886</v>
      </c>
      <c r="AB4" s="28">
        <f t="shared" si="4"/>
        <v>13.9109145</v>
      </c>
      <c r="AC4" s="32">
        <f t="shared" si="5"/>
        <v>-0.04305618853</v>
      </c>
      <c r="AD4" s="4">
        <v>7.0</v>
      </c>
      <c r="AE4" s="32">
        <f t="shared" si="6"/>
        <v>2.961243811</v>
      </c>
      <c r="AF4" s="33">
        <f t="shared" si="7"/>
        <v>1</v>
      </c>
      <c r="AG4" s="28">
        <f t="shared" si="8"/>
        <v>5.79</v>
      </c>
      <c r="AH4" s="34">
        <f t="shared" si="9"/>
        <v>883.2183074</v>
      </c>
      <c r="AI4" s="32">
        <f t="shared" si="10"/>
        <v>33.47378249</v>
      </c>
      <c r="AJ4" s="33">
        <f t="shared" si="11"/>
        <v>3</v>
      </c>
      <c r="AK4" s="35">
        <v>28.11</v>
      </c>
      <c r="AL4" s="32">
        <f t="shared" si="12"/>
        <v>0.09718969555</v>
      </c>
      <c r="AM4" s="33">
        <f t="shared" si="13"/>
        <v>10</v>
      </c>
      <c r="AN4" s="33">
        <f t="shared" si="14"/>
        <v>0.04655217278</v>
      </c>
      <c r="AO4" s="33">
        <f t="shared" si="15"/>
        <v>2</v>
      </c>
      <c r="AP4" s="33">
        <f t="shared" si="16"/>
        <v>133</v>
      </c>
      <c r="AQ4" s="33">
        <f t="shared" si="17"/>
        <v>2</v>
      </c>
      <c r="AR4" s="33">
        <f t="shared" si="18"/>
        <v>48</v>
      </c>
      <c r="AS4" s="33">
        <f t="shared" si="19"/>
        <v>1</v>
      </c>
      <c r="AT4" s="33">
        <v>2.0</v>
      </c>
      <c r="AU4" s="33"/>
    </row>
    <row r="5" ht="15.75" customHeight="1">
      <c r="A5" s="25" t="s">
        <v>186</v>
      </c>
      <c r="B5" s="25" t="s">
        <v>187</v>
      </c>
      <c r="C5" s="25" t="s">
        <v>188</v>
      </c>
      <c r="D5" s="25" t="s">
        <v>189</v>
      </c>
      <c r="E5" s="25" t="s">
        <v>190</v>
      </c>
      <c r="F5" s="25" t="s">
        <v>191</v>
      </c>
      <c r="G5" s="25">
        <v>21.48</v>
      </c>
      <c r="H5" s="25">
        <v>13.93</v>
      </c>
      <c r="I5" s="25">
        <v>273.0</v>
      </c>
      <c r="J5" s="25" t="s">
        <v>192</v>
      </c>
      <c r="K5" s="25">
        <v>4.07</v>
      </c>
      <c r="L5" s="25">
        <f>M5</f>
        <v>13.3</v>
      </c>
      <c r="M5" s="4">
        <v>13.3</v>
      </c>
      <c r="N5" s="25">
        <v>0.0</v>
      </c>
      <c r="O5" s="25">
        <v>0.0</v>
      </c>
      <c r="P5" s="25">
        <v>67.02</v>
      </c>
      <c r="Q5" s="25" t="s">
        <v>193</v>
      </c>
      <c r="R5" s="29">
        <v>0.61</v>
      </c>
      <c r="U5" s="4">
        <v>0.94</v>
      </c>
      <c r="V5" s="28">
        <v>10.0</v>
      </c>
      <c r="W5" s="29">
        <v>0.73</v>
      </c>
      <c r="X5" s="29">
        <v>21.48</v>
      </c>
      <c r="Y5" s="28">
        <v>4.63</v>
      </c>
      <c r="Z5" s="4">
        <f t="shared" si="2"/>
        <v>4</v>
      </c>
      <c r="AA5" s="28">
        <f t="shared" si="3"/>
        <v>9.6778</v>
      </c>
      <c r="AB5" s="28">
        <f t="shared" si="4"/>
        <v>17.61245553</v>
      </c>
      <c r="AC5" s="32">
        <f t="shared" si="5"/>
        <v>-0.02796106309</v>
      </c>
      <c r="AD5" s="4">
        <v>7.0</v>
      </c>
      <c r="AE5" s="32">
        <f t="shared" si="6"/>
        <v>0.6422389369</v>
      </c>
      <c r="AF5" s="33">
        <f t="shared" si="7"/>
        <v>7</v>
      </c>
      <c r="AG5" s="28">
        <f t="shared" si="8"/>
        <v>5.79</v>
      </c>
      <c r="AH5" s="34">
        <f t="shared" si="9"/>
        <v>79.07400345</v>
      </c>
      <c r="AI5" s="32">
        <f t="shared" si="10"/>
        <v>4.676525733</v>
      </c>
      <c r="AJ5" s="33">
        <f t="shared" si="11"/>
        <v>8</v>
      </c>
      <c r="AK5" s="35">
        <v>16.6</v>
      </c>
      <c r="AL5" s="32">
        <f t="shared" si="12"/>
        <v>0.191672649</v>
      </c>
      <c r="AM5" s="33">
        <f t="shared" si="13"/>
        <v>5</v>
      </c>
      <c r="AN5" s="33">
        <f t="shared" si="14"/>
        <v>0.04501587087</v>
      </c>
      <c r="AO5" s="33">
        <f t="shared" si="15"/>
        <v>3</v>
      </c>
      <c r="AP5" s="33">
        <f t="shared" si="16"/>
        <v>127</v>
      </c>
      <c r="AQ5" s="33">
        <f t="shared" si="17"/>
        <v>3</v>
      </c>
      <c r="AR5" s="33">
        <f t="shared" si="18"/>
        <v>40</v>
      </c>
      <c r="AS5" s="33">
        <f t="shared" si="19"/>
        <v>4</v>
      </c>
      <c r="AT5" s="33">
        <v>3.0</v>
      </c>
      <c r="AU5" s="33"/>
    </row>
    <row r="6" ht="15.75" customHeight="1">
      <c r="A6" s="25" t="s">
        <v>194</v>
      </c>
      <c r="B6" s="25" t="s">
        <v>195</v>
      </c>
      <c r="C6" s="25" t="s">
        <v>188</v>
      </c>
      <c r="D6" s="25" t="s">
        <v>196</v>
      </c>
      <c r="E6" s="25" t="s">
        <v>120</v>
      </c>
      <c r="F6" s="25" t="s">
        <v>197</v>
      </c>
      <c r="G6" s="25" t="s">
        <v>198</v>
      </c>
      <c r="H6" s="25">
        <v>129.87</v>
      </c>
      <c r="I6" s="25" t="s">
        <v>199</v>
      </c>
      <c r="J6" s="26">
        <v>566144.0</v>
      </c>
      <c r="K6" s="25">
        <v>0.52</v>
      </c>
      <c r="L6" s="4">
        <v>0.0</v>
      </c>
      <c r="M6" s="28" t="s">
        <v>125</v>
      </c>
      <c r="N6" s="25">
        <v>1.54</v>
      </c>
      <c r="O6" s="25">
        <v>0.0</v>
      </c>
      <c r="P6" s="25">
        <v>227.42</v>
      </c>
      <c r="Q6" s="25" t="s">
        <v>200</v>
      </c>
      <c r="R6" s="29">
        <v>14.94</v>
      </c>
      <c r="U6" s="28">
        <v>6.78</v>
      </c>
      <c r="V6" s="28">
        <v>10.0</v>
      </c>
      <c r="W6" s="29">
        <v>4.72</v>
      </c>
      <c r="X6" s="29">
        <v>28.04</v>
      </c>
      <c r="Y6" s="28">
        <v>4.63</v>
      </c>
      <c r="Z6" s="4">
        <f t="shared" si="2"/>
        <v>4</v>
      </c>
      <c r="AA6" s="28">
        <f t="shared" si="3"/>
        <v>41.0386</v>
      </c>
      <c r="AB6" s="28">
        <f t="shared" si="4"/>
        <v>2.699886065</v>
      </c>
      <c r="AC6" s="32">
        <f t="shared" si="5"/>
        <v>-0.2841939795</v>
      </c>
      <c r="AD6" s="4">
        <v>7.0</v>
      </c>
      <c r="AE6" s="32">
        <f t="shared" si="6"/>
        <v>2.005406021</v>
      </c>
      <c r="AF6" s="33">
        <f t="shared" si="7"/>
        <v>3</v>
      </c>
      <c r="AG6" s="28">
        <f t="shared" si="8"/>
        <v>5.79</v>
      </c>
      <c r="AH6" s="34">
        <f t="shared" si="9"/>
        <v>1661.942162</v>
      </c>
      <c r="AI6" s="32">
        <f t="shared" si="10"/>
        <v>11.79696745</v>
      </c>
      <c r="AJ6" s="33">
        <f t="shared" si="11"/>
        <v>4</v>
      </c>
      <c r="AK6" s="35">
        <v>120.43</v>
      </c>
      <c r="AL6" s="32">
        <f t="shared" si="12"/>
        <v>-0.07268807269</v>
      </c>
      <c r="AM6" s="33">
        <f t="shared" si="13"/>
        <v>18</v>
      </c>
      <c r="AN6" s="33">
        <f t="shared" si="14"/>
        <v>0.04431852869</v>
      </c>
      <c r="AO6" s="33">
        <f t="shared" si="15"/>
        <v>4</v>
      </c>
      <c r="AP6" s="33">
        <f t="shared" si="16"/>
        <v>122</v>
      </c>
      <c r="AQ6" s="33">
        <f t="shared" si="17"/>
        <v>4</v>
      </c>
      <c r="AR6" s="33">
        <f t="shared" si="18"/>
        <v>46</v>
      </c>
      <c r="AS6" s="33">
        <f t="shared" si="19"/>
        <v>2</v>
      </c>
      <c r="AT6" s="33">
        <v>4.0</v>
      </c>
      <c r="AU6" s="33"/>
    </row>
    <row r="7" ht="15.75" customHeight="1">
      <c r="A7" s="25" t="s">
        <v>201</v>
      </c>
      <c r="B7" s="25" t="s">
        <v>202</v>
      </c>
      <c r="C7" s="25" t="s">
        <v>181</v>
      </c>
      <c r="D7" s="25" t="s">
        <v>203</v>
      </c>
      <c r="E7" s="25" t="s">
        <v>120</v>
      </c>
      <c r="F7" s="25" t="s">
        <v>204</v>
      </c>
      <c r="G7" s="25" t="s">
        <v>205</v>
      </c>
      <c r="H7" s="25">
        <v>225.3</v>
      </c>
      <c r="I7" s="25" t="s">
        <v>206</v>
      </c>
      <c r="J7" s="26">
        <v>9.8758778E7</v>
      </c>
      <c r="K7" s="25">
        <v>0.06</v>
      </c>
      <c r="L7" s="25">
        <v>628.92</v>
      </c>
      <c r="M7" s="28" t="s">
        <v>125</v>
      </c>
      <c r="N7" s="25">
        <v>0.12</v>
      </c>
      <c r="O7" s="25">
        <v>0.83</v>
      </c>
      <c r="P7" s="25">
        <v>75.24</v>
      </c>
      <c r="Q7" s="25" t="s">
        <v>207</v>
      </c>
      <c r="R7" s="29">
        <v>2.16</v>
      </c>
      <c r="U7" s="28">
        <f>IF(E7="USA",R7,"completar")</f>
        <v>2.16</v>
      </c>
      <c r="V7" s="28">
        <v>10.0</v>
      </c>
      <c r="W7" s="29">
        <v>5.84</v>
      </c>
      <c r="X7" s="29">
        <v>34.48</v>
      </c>
      <c r="Y7" s="28">
        <v>4.63</v>
      </c>
      <c r="Z7" s="4">
        <f t="shared" si="2"/>
        <v>7</v>
      </c>
      <c r="AA7" s="28">
        <f t="shared" si="3"/>
        <v>16.2292</v>
      </c>
      <c r="AB7" s="28">
        <f t="shared" si="4"/>
        <v>10.83517531</v>
      </c>
      <c r="AC7" s="32">
        <f t="shared" si="5"/>
        <v>-0.1524189452</v>
      </c>
      <c r="AD7" s="4">
        <v>7.0</v>
      </c>
      <c r="AE7" s="32">
        <f t="shared" si="6"/>
        <v>0.6094810548</v>
      </c>
      <c r="AF7" s="33">
        <f t="shared" si="7"/>
        <v>9</v>
      </c>
      <c r="AG7" s="28">
        <f t="shared" si="8"/>
        <v>5.79</v>
      </c>
      <c r="AH7" s="34">
        <f t="shared" si="9"/>
        <v>705.5526908</v>
      </c>
      <c r="AI7" s="32">
        <f t="shared" si="10"/>
        <v>2.131614251</v>
      </c>
      <c r="AJ7" s="33">
        <f t="shared" si="11"/>
        <v>14</v>
      </c>
      <c r="AK7" s="35">
        <v>280.0</v>
      </c>
      <c r="AL7" s="32">
        <f t="shared" si="12"/>
        <v>0.2427873946</v>
      </c>
      <c r="AM7" s="33">
        <f t="shared" si="13"/>
        <v>2</v>
      </c>
      <c r="AN7" s="33">
        <f t="shared" si="14"/>
        <v>0.04413529939</v>
      </c>
      <c r="AO7" s="33">
        <f t="shared" si="15"/>
        <v>5</v>
      </c>
      <c r="AP7" s="33">
        <f t="shared" si="16"/>
        <v>122</v>
      </c>
      <c r="AQ7" s="33">
        <f t="shared" si="17"/>
        <v>4</v>
      </c>
      <c r="AR7" s="33">
        <f t="shared" si="18"/>
        <v>38</v>
      </c>
      <c r="AS7" s="33">
        <f t="shared" si="19"/>
        <v>5</v>
      </c>
      <c r="AT7" s="37">
        <v>5.0</v>
      </c>
      <c r="AU7" s="33"/>
    </row>
    <row r="8" ht="15.75" customHeight="1">
      <c r="A8" s="28" t="s">
        <v>208</v>
      </c>
      <c r="B8" s="28" t="s">
        <v>209</v>
      </c>
      <c r="C8" s="28" t="s">
        <v>181</v>
      </c>
      <c r="D8" s="28" t="s">
        <v>182</v>
      </c>
      <c r="E8" s="28" t="s">
        <v>120</v>
      </c>
      <c r="F8" s="28" t="s">
        <v>210</v>
      </c>
      <c r="G8" s="28">
        <v>45.0</v>
      </c>
      <c r="H8" s="28">
        <v>35.22</v>
      </c>
      <c r="I8" s="28">
        <v>0.0341</v>
      </c>
      <c r="J8" s="28" t="s">
        <v>211</v>
      </c>
      <c r="K8" s="28">
        <v>0.0</v>
      </c>
      <c r="L8" s="28">
        <v>0.0</v>
      </c>
      <c r="M8" s="28" t="s">
        <v>125</v>
      </c>
      <c r="N8" s="28">
        <v>0.0</v>
      </c>
      <c r="O8" s="28">
        <v>0.0</v>
      </c>
      <c r="P8" s="4">
        <v>79.0</v>
      </c>
      <c r="Q8" s="4" t="s">
        <v>212</v>
      </c>
      <c r="R8" s="28">
        <v>1.69</v>
      </c>
      <c r="S8" s="28" t="s">
        <v>213</v>
      </c>
      <c r="T8" s="28">
        <v>15.17</v>
      </c>
      <c r="U8" s="28">
        <v>1.73</v>
      </c>
      <c r="V8" s="28">
        <v>10.0</v>
      </c>
      <c r="W8" s="28">
        <v>0.78</v>
      </c>
      <c r="X8" s="28">
        <v>43.99</v>
      </c>
      <c r="Y8" s="28">
        <v>4.63</v>
      </c>
      <c r="Z8" s="4">
        <f t="shared" si="2"/>
        <v>7</v>
      </c>
      <c r="AA8" s="28">
        <f t="shared" si="3"/>
        <v>13.9201</v>
      </c>
      <c r="AB8" s="28">
        <f t="shared" si="4"/>
        <v>14.45065823</v>
      </c>
      <c r="AC8" s="32">
        <f t="shared" si="5"/>
        <v>-0.1470307378</v>
      </c>
      <c r="AD8" s="4">
        <v>7.0</v>
      </c>
      <c r="AE8" s="32">
        <f t="shared" si="6"/>
        <v>0.6429692622</v>
      </c>
      <c r="AF8" s="33">
        <f t="shared" si="7"/>
        <v>6</v>
      </c>
      <c r="AG8" s="28">
        <f t="shared" si="8"/>
        <v>5.79</v>
      </c>
      <c r="AH8" s="34">
        <f t="shared" si="9"/>
        <v>98.69222798</v>
      </c>
      <c r="AI8" s="32">
        <f t="shared" si="10"/>
        <v>1.802164338</v>
      </c>
      <c r="AJ8" s="33">
        <f t="shared" si="11"/>
        <v>17</v>
      </c>
      <c r="AK8" s="38">
        <v>43.6</v>
      </c>
      <c r="AL8" s="32">
        <f t="shared" si="12"/>
        <v>0.2379329926</v>
      </c>
      <c r="AM8" s="33">
        <f t="shared" si="13"/>
        <v>4</v>
      </c>
      <c r="AN8" s="33">
        <f t="shared" si="14"/>
        <v>0.04376352814</v>
      </c>
      <c r="AO8" s="33">
        <f t="shared" si="15"/>
        <v>6</v>
      </c>
      <c r="AP8" s="33">
        <f t="shared" si="16"/>
        <v>120</v>
      </c>
      <c r="AQ8" s="33">
        <f t="shared" si="17"/>
        <v>6</v>
      </c>
      <c r="AR8" s="33">
        <f t="shared" si="18"/>
        <v>38</v>
      </c>
      <c r="AS8" s="33">
        <f t="shared" si="19"/>
        <v>5</v>
      </c>
      <c r="AT8" s="33">
        <v>6.0</v>
      </c>
      <c r="AU8" s="33"/>
    </row>
    <row r="9" ht="15.75" customHeight="1">
      <c r="A9" s="25" t="s">
        <v>214</v>
      </c>
      <c r="B9" s="25" t="s">
        <v>215</v>
      </c>
      <c r="C9" s="25" t="s">
        <v>181</v>
      </c>
      <c r="D9" s="25" t="s">
        <v>216</v>
      </c>
      <c r="E9" s="25" t="s">
        <v>120</v>
      </c>
      <c r="F9" s="25" t="s">
        <v>217</v>
      </c>
      <c r="G9" s="25" t="s">
        <v>218</v>
      </c>
      <c r="H9" s="25">
        <v>2.29</v>
      </c>
      <c r="I9" s="25" t="s">
        <v>219</v>
      </c>
      <c r="J9" s="26">
        <v>37832.0</v>
      </c>
      <c r="K9" s="25">
        <v>0.0</v>
      </c>
      <c r="L9" s="4">
        <v>0.0</v>
      </c>
      <c r="M9" s="28" t="s">
        <v>125</v>
      </c>
      <c r="N9" s="25">
        <v>0.0</v>
      </c>
      <c r="O9" s="25">
        <v>0.09</v>
      </c>
      <c r="P9" s="25">
        <v>32.84</v>
      </c>
      <c r="Q9" s="25" t="s">
        <v>207</v>
      </c>
      <c r="R9" s="29">
        <v>0.77</v>
      </c>
      <c r="U9" s="28">
        <f>IF(E9="USA",R9,"completar")</f>
        <v>0.77</v>
      </c>
      <c r="V9" s="28">
        <v>10.0</v>
      </c>
      <c r="W9" s="29">
        <v>0.14</v>
      </c>
      <c r="X9" s="29">
        <v>16.63</v>
      </c>
      <c r="Y9" s="28">
        <v>4.63</v>
      </c>
      <c r="Z9" s="4">
        <f t="shared" si="2"/>
        <v>7</v>
      </c>
      <c r="AA9" s="28">
        <f t="shared" si="3"/>
        <v>8.7649</v>
      </c>
      <c r="AB9" s="28">
        <f t="shared" si="4"/>
        <v>56.66043402</v>
      </c>
      <c r="AC9" s="32">
        <f t="shared" si="5"/>
        <v>0.1913939167</v>
      </c>
      <c r="AD9" s="4">
        <v>7.0</v>
      </c>
      <c r="AE9" s="32">
        <f t="shared" si="6"/>
        <v>0.5206939167</v>
      </c>
      <c r="AF9" s="33">
        <f t="shared" si="7"/>
        <v>12</v>
      </c>
      <c r="AG9" s="28">
        <f t="shared" si="8"/>
        <v>5.79</v>
      </c>
      <c r="AH9" s="34">
        <f t="shared" si="9"/>
        <v>7.892034542</v>
      </c>
      <c r="AI9" s="32">
        <f t="shared" si="10"/>
        <v>2.446303294</v>
      </c>
      <c r="AJ9" s="33">
        <f t="shared" si="11"/>
        <v>13</v>
      </c>
      <c r="AK9" s="35">
        <v>2.59</v>
      </c>
      <c r="AL9" s="32">
        <f t="shared" si="12"/>
        <v>0.1310043668</v>
      </c>
      <c r="AM9" s="33">
        <f t="shared" si="13"/>
        <v>6</v>
      </c>
      <c r="AN9" s="33">
        <f t="shared" si="14"/>
        <v>0.04273903418</v>
      </c>
      <c r="AO9" s="33">
        <f t="shared" si="15"/>
        <v>7</v>
      </c>
      <c r="AP9" s="33">
        <f t="shared" si="16"/>
        <v>116</v>
      </c>
      <c r="AQ9" s="33">
        <f t="shared" si="17"/>
        <v>7</v>
      </c>
      <c r="AR9" s="33">
        <f t="shared" si="18"/>
        <v>30</v>
      </c>
      <c r="AS9" s="33">
        <f t="shared" si="19"/>
        <v>7</v>
      </c>
      <c r="AT9" s="33">
        <v>7.0</v>
      </c>
      <c r="AU9" s="33"/>
    </row>
    <row r="10" ht="15.75" customHeight="1">
      <c r="A10" s="28" t="s">
        <v>220</v>
      </c>
      <c r="B10" s="28" t="s">
        <v>221</v>
      </c>
      <c r="C10" s="28" t="s">
        <v>118</v>
      </c>
      <c r="D10" s="28" t="s">
        <v>119</v>
      </c>
      <c r="E10" s="28" t="s">
        <v>222</v>
      </c>
      <c r="F10" s="28" t="s">
        <v>223</v>
      </c>
      <c r="G10" s="28">
        <v>31.02</v>
      </c>
      <c r="H10" s="28">
        <v>498.24</v>
      </c>
      <c r="I10" s="28">
        <v>0.0176</v>
      </c>
      <c r="J10" s="28" t="s">
        <v>224</v>
      </c>
      <c r="K10" s="28">
        <v>0.06</v>
      </c>
      <c r="L10" s="28">
        <v>110.53</v>
      </c>
      <c r="M10" s="28" t="s">
        <v>125</v>
      </c>
      <c r="N10" s="28">
        <v>0.0</v>
      </c>
      <c r="O10" s="28">
        <v>0.0</v>
      </c>
      <c r="P10" s="4">
        <v>60.0</v>
      </c>
      <c r="Q10" s="4" t="s">
        <v>212</v>
      </c>
      <c r="R10" s="28">
        <v>1.57</v>
      </c>
      <c r="S10" s="28" t="s">
        <v>213</v>
      </c>
      <c r="T10" s="28">
        <v>15.17</v>
      </c>
      <c r="U10" s="28">
        <v>1.58</v>
      </c>
      <c r="V10" s="28">
        <v>10.0</v>
      </c>
      <c r="W10" s="28">
        <v>15.94</v>
      </c>
      <c r="X10" s="28">
        <v>29.46</v>
      </c>
      <c r="Y10" s="28">
        <v>4.63</v>
      </c>
      <c r="Z10" s="4">
        <f t="shared" si="2"/>
        <v>5</v>
      </c>
      <c r="AA10" s="28">
        <f t="shared" si="3"/>
        <v>13.1146</v>
      </c>
      <c r="AB10" s="28">
        <f t="shared" si="4"/>
        <v>12.32346634</v>
      </c>
      <c r="AC10" s="32">
        <f t="shared" si="5"/>
        <v>-0.1170652872</v>
      </c>
      <c r="AD10" s="4">
        <v>7.0</v>
      </c>
      <c r="AE10" s="32">
        <f t="shared" si="6"/>
        <v>0.4829347128</v>
      </c>
      <c r="AF10" s="33">
        <f t="shared" si="7"/>
        <v>14</v>
      </c>
      <c r="AG10" s="28">
        <f t="shared" si="8"/>
        <v>5.79</v>
      </c>
      <c r="AH10" s="34">
        <f t="shared" si="9"/>
        <v>1556.558895</v>
      </c>
      <c r="AI10" s="32">
        <f t="shared" si="10"/>
        <v>2.124114673</v>
      </c>
      <c r="AJ10" s="33">
        <f t="shared" si="11"/>
        <v>15</v>
      </c>
      <c r="AK10" s="38">
        <v>560.0</v>
      </c>
      <c r="AL10" s="32">
        <f t="shared" si="12"/>
        <v>0.1239563263</v>
      </c>
      <c r="AM10" s="33">
        <f t="shared" si="13"/>
        <v>8</v>
      </c>
      <c r="AN10" s="33">
        <f t="shared" si="14"/>
        <v>0.0415527292</v>
      </c>
      <c r="AO10" s="33">
        <f t="shared" si="15"/>
        <v>8</v>
      </c>
      <c r="AP10" s="33">
        <f t="shared" si="16"/>
        <v>110</v>
      </c>
      <c r="AQ10" s="33">
        <f t="shared" si="17"/>
        <v>8</v>
      </c>
      <c r="AR10" s="33">
        <f t="shared" si="18"/>
        <v>26</v>
      </c>
      <c r="AS10" s="33">
        <f t="shared" si="19"/>
        <v>10</v>
      </c>
      <c r="AT10" s="33">
        <v>8.0</v>
      </c>
      <c r="AU10" s="33"/>
    </row>
    <row r="11" ht="15.75" customHeight="1">
      <c r="A11" s="25" t="s">
        <v>52</v>
      </c>
      <c r="B11" s="25" t="s">
        <v>225</v>
      </c>
      <c r="C11" s="25" t="s">
        <v>118</v>
      </c>
      <c r="D11" s="25" t="s">
        <v>226</v>
      </c>
      <c r="E11" s="25" t="s">
        <v>120</v>
      </c>
      <c r="F11" s="25" t="s">
        <v>227</v>
      </c>
      <c r="G11" s="25">
        <v>24.65</v>
      </c>
      <c r="H11" s="25">
        <v>78.24</v>
      </c>
      <c r="I11" s="25">
        <v>543.0</v>
      </c>
      <c r="J11" s="25" t="s">
        <v>228</v>
      </c>
      <c r="K11" s="25">
        <v>0.47</v>
      </c>
      <c r="L11" s="25">
        <v>16.94</v>
      </c>
      <c r="M11" s="28" t="s">
        <v>125</v>
      </c>
      <c r="N11" s="25">
        <v>0.0</v>
      </c>
      <c r="O11" s="25">
        <v>2.97</v>
      </c>
      <c r="P11" s="25">
        <v>56.63</v>
      </c>
      <c r="Q11" s="25" t="s">
        <v>8</v>
      </c>
      <c r="R11" s="29">
        <v>1.52</v>
      </c>
      <c r="U11" s="28">
        <f t="shared" ref="U11:U12" si="20">IF(E11="USA",R11,"completar")</f>
        <v>1.52</v>
      </c>
      <c r="V11" s="28">
        <v>10.0</v>
      </c>
      <c r="W11" s="29">
        <v>3.18</v>
      </c>
      <c r="X11" s="29">
        <v>24.65</v>
      </c>
      <c r="Y11" s="28">
        <v>4.63</v>
      </c>
      <c r="Z11" s="4">
        <f t="shared" si="2"/>
        <v>5</v>
      </c>
      <c r="AA11" s="28">
        <f t="shared" si="3"/>
        <v>12.7924</v>
      </c>
      <c r="AB11" s="28">
        <f t="shared" si="4"/>
        <v>12.83301679</v>
      </c>
      <c r="AC11" s="32">
        <f t="shared" si="5"/>
        <v>-0.08903500023</v>
      </c>
      <c r="AD11" s="4">
        <v>7.0</v>
      </c>
      <c r="AE11" s="32">
        <f t="shared" si="6"/>
        <v>0.5069649998</v>
      </c>
      <c r="AF11" s="33">
        <f t="shared" si="7"/>
        <v>13</v>
      </c>
      <c r="AG11" s="28">
        <f t="shared" si="8"/>
        <v>5.79</v>
      </c>
      <c r="AH11" s="34">
        <f t="shared" si="9"/>
        <v>294.2428187</v>
      </c>
      <c r="AI11" s="32">
        <f t="shared" si="10"/>
        <v>2.760772222</v>
      </c>
      <c r="AJ11" s="33">
        <f t="shared" si="11"/>
        <v>11</v>
      </c>
      <c r="AK11" s="35">
        <v>80.0</v>
      </c>
      <c r="AL11" s="32">
        <f t="shared" si="12"/>
        <v>0.02249488753</v>
      </c>
      <c r="AM11" s="33">
        <f t="shared" si="13"/>
        <v>14</v>
      </c>
      <c r="AN11" s="33">
        <f t="shared" si="14"/>
        <v>0.04129665069</v>
      </c>
      <c r="AO11" s="33">
        <f t="shared" si="15"/>
        <v>9</v>
      </c>
      <c r="AP11" s="33">
        <f t="shared" si="16"/>
        <v>109</v>
      </c>
      <c r="AQ11" s="33">
        <f t="shared" si="17"/>
        <v>9</v>
      </c>
      <c r="AR11" s="33">
        <f t="shared" si="18"/>
        <v>28</v>
      </c>
      <c r="AS11" s="33">
        <f t="shared" si="19"/>
        <v>9</v>
      </c>
      <c r="AT11" s="33">
        <v>9.0</v>
      </c>
      <c r="AU11" s="33"/>
    </row>
    <row r="12" ht="15.75" customHeight="1">
      <c r="A12" s="25" t="s">
        <v>229</v>
      </c>
      <c r="B12" s="25" t="s">
        <v>230</v>
      </c>
      <c r="C12" s="25" t="s">
        <v>181</v>
      </c>
      <c r="D12" s="25" t="s">
        <v>182</v>
      </c>
      <c r="E12" s="25" t="s">
        <v>120</v>
      </c>
      <c r="F12" s="25" t="s">
        <v>231</v>
      </c>
      <c r="G12" s="25" t="s">
        <v>232</v>
      </c>
      <c r="H12" s="25">
        <v>179.01</v>
      </c>
      <c r="I12" s="25" t="s">
        <v>233</v>
      </c>
      <c r="J12" s="26">
        <v>3.6457257E7</v>
      </c>
      <c r="K12" s="25">
        <v>0.02</v>
      </c>
      <c r="L12" s="4">
        <v>0.0</v>
      </c>
      <c r="M12" s="28" t="s">
        <v>125</v>
      </c>
      <c r="N12" s="25">
        <v>0.0</v>
      </c>
      <c r="O12" s="25">
        <v>0.02</v>
      </c>
      <c r="P12" s="25">
        <v>244.63</v>
      </c>
      <c r="Q12" s="25" t="s">
        <v>200</v>
      </c>
      <c r="R12" s="29">
        <v>1.65</v>
      </c>
      <c r="U12" s="28">
        <f t="shared" si="20"/>
        <v>1.65</v>
      </c>
      <c r="V12" s="28">
        <v>10.0</v>
      </c>
      <c r="W12" s="29">
        <v>1.46</v>
      </c>
      <c r="X12" s="29">
        <v>148.74</v>
      </c>
      <c r="Y12" s="28">
        <v>4.63</v>
      </c>
      <c r="Z12" s="4">
        <f t="shared" si="2"/>
        <v>7</v>
      </c>
      <c r="AA12" s="28">
        <f t="shared" si="3"/>
        <v>13.4905</v>
      </c>
      <c r="AB12" s="28">
        <f t="shared" si="4"/>
        <v>15.4071335</v>
      </c>
      <c r="AC12" s="32">
        <f t="shared" si="5"/>
        <v>-0.2766845794</v>
      </c>
      <c r="AD12" s="4">
        <v>7.0</v>
      </c>
      <c r="AE12" s="32">
        <f t="shared" si="6"/>
        <v>2.169815421</v>
      </c>
      <c r="AF12" s="33">
        <f t="shared" si="7"/>
        <v>2</v>
      </c>
      <c r="AG12" s="28">
        <f t="shared" si="8"/>
        <v>5.79</v>
      </c>
      <c r="AH12" s="34">
        <f t="shared" si="9"/>
        <v>552.2642902</v>
      </c>
      <c r="AI12" s="32">
        <f t="shared" si="10"/>
        <v>2.085103012</v>
      </c>
      <c r="AJ12" s="33">
        <f t="shared" si="11"/>
        <v>16</v>
      </c>
      <c r="AK12" s="35">
        <v>153.0</v>
      </c>
      <c r="AL12" s="32">
        <f t="shared" si="12"/>
        <v>-0.1452991453</v>
      </c>
      <c r="AM12" s="33">
        <f t="shared" si="13"/>
        <v>28</v>
      </c>
      <c r="AN12" s="33">
        <f t="shared" si="14"/>
        <v>0.04065056336</v>
      </c>
      <c r="AO12" s="33">
        <f t="shared" si="15"/>
        <v>10</v>
      </c>
      <c r="AP12" s="33">
        <f t="shared" si="16"/>
        <v>101</v>
      </c>
      <c r="AQ12" s="33">
        <f t="shared" si="17"/>
        <v>10</v>
      </c>
      <c r="AR12" s="33">
        <f t="shared" si="18"/>
        <v>30</v>
      </c>
      <c r="AS12" s="33">
        <f t="shared" si="19"/>
        <v>7</v>
      </c>
      <c r="AT12" s="33">
        <v>10.0</v>
      </c>
      <c r="AU12" s="33"/>
    </row>
    <row r="13" ht="15.75" customHeight="1">
      <c r="A13" s="25" t="s">
        <v>234</v>
      </c>
      <c r="B13" s="25" t="s">
        <v>235</v>
      </c>
      <c r="C13" s="25" t="s">
        <v>236</v>
      </c>
      <c r="D13" s="25" t="s">
        <v>17</v>
      </c>
      <c r="E13" s="25" t="s">
        <v>237</v>
      </c>
      <c r="F13" s="25" t="s">
        <v>238</v>
      </c>
      <c r="G13" s="25" t="s">
        <v>239</v>
      </c>
      <c r="H13" s="25">
        <v>21.24</v>
      </c>
      <c r="I13" s="25" t="s">
        <v>240</v>
      </c>
      <c r="J13" s="26">
        <v>1771690.0</v>
      </c>
      <c r="K13" s="25">
        <v>0.02</v>
      </c>
      <c r="L13" s="4">
        <v>0.0</v>
      </c>
      <c r="M13" s="28" t="s">
        <v>125</v>
      </c>
      <c r="N13" s="25">
        <v>0.94</v>
      </c>
      <c r="O13" s="25">
        <v>2.83</v>
      </c>
      <c r="P13" s="25">
        <v>28.47</v>
      </c>
      <c r="Q13" s="25" t="s">
        <v>241</v>
      </c>
      <c r="R13" s="39">
        <v>1.57</v>
      </c>
      <c r="U13" s="39">
        <v>1.57</v>
      </c>
      <c r="V13" s="28">
        <v>10.0</v>
      </c>
      <c r="W13" s="29">
        <v>3.16</v>
      </c>
      <c r="X13" s="29">
        <v>6.77</v>
      </c>
      <c r="Y13" s="28">
        <v>4.63</v>
      </c>
      <c r="Z13" s="4">
        <f t="shared" si="2"/>
        <v>4</v>
      </c>
      <c r="AA13" s="28">
        <f t="shared" si="3"/>
        <v>13.0609</v>
      </c>
      <c r="AB13" s="28">
        <f t="shared" si="4"/>
        <v>11.03643126</v>
      </c>
      <c r="AC13" s="32">
        <f t="shared" si="5"/>
        <v>0.07230911865</v>
      </c>
      <c r="AD13" s="4">
        <v>7.0</v>
      </c>
      <c r="AE13" s="32">
        <f t="shared" si="6"/>
        <v>0.3947091186</v>
      </c>
      <c r="AF13" s="33">
        <f t="shared" si="7"/>
        <v>18</v>
      </c>
      <c r="AG13" s="28">
        <f t="shared" si="8"/>
        <v>5.79</v>
      </c>
      <c r="AH13" s="34">
        <f t="shared" si="9"/>
        <v>157.146418</v>
      </c>
      <c r="AI13" s="32">
        <f t="shared" si="10"/>
        <v>6.398607249</v>
      </c>
      <c r="AJ13" s="33">
        <f t="shared" si="11"/>
        <v>6</v>
      </c>
      <c r="AK13" s="38">
        <v>18.93</v>
      </c>
      <c r="AL13" s="32">
        <f t="shared" si="12"/>
        <v>-0.1087570621</v>
      </c>
      <c r="AM13" s="33">
        <f t="shared" si="13"/>
        <v>24</v>
      </c>
      <c r="AN13" s="33">
        <f t="shared" si="14"/>
        <v>0.03987678988</v>
      </c>
      <c r="AO13" s="33">
        <f t="shared" si="15"/>
        <v>11</v>
      </c>
      <c r="AP13" s="33">
        <f t="shared" si="16"/>
        <v>99</v>
      </c>
      <c r="AQ13" s="33">
        <f t="shared" si="17"/>
        <v>11</v>
      </c>
      <c r="AR13" s="33">
        <f t="shared" si="18"/>
        <v>26</v>
      </c>
      <c r="AS13" s="33">
        <f t="shared" si="19"/>
        <v>10</v>
      </c>
      <c r="AT13" s="33">
        <v>11.0</v>
      </c>
      <c r="AU13" s="33"/>
    </row>
    <row r="14" ht="15.75" customHeight="1">
      <c r="A14" s="25" t="s">
        <v>242</v>
      </c>
      <c r="B14" s="25" t="s">
        <v>243</v>
      </c>
      <c r="C14" s="25" t="s">
        <v>236</v>
      </c>
      <c r="D14" s="25" t="s">
        <v>17</v>
      </c>
      <c r="E14" s="25" t="s">
        <v>244</v>
      </c>
      <c r="F14" s="25" t="s">
        <v>245</v>
      </c>
      <c r="G14" s="25" t="s">
        <v>246</v>
      </c>
      <c r="H14" s="25">
        <v>23.78</v>
      </c>
      <c r="I14" s="25" t="s">
        <v>247</v>
      </c>
      <c r="J14" s="26">
        <v>271248.0</v>
      </c>
      <c r="K14" s="25">
        <v>0.0</v>
      </c>
      <c r="L14" s="25">
        <v>46.53</v>
      </c>
      <c r="M14" s="28" t="s">
        <v>125</v>
      </c>
      <c r="N14" s="25">
        <v>2.17</v>
      </c>
      <c r="O14" s="25">
        <v>0.0</v>
      </c>
      <c r="P14" s="25">
        <v>25.62</v>
      </c>
      <c r="Q14" s="25" t="s">
        <v>248</v>
      </c>
      <c r="R14" s="39">
        <v>0.49</v>
      </c>
      <c r="U14" s="39">
        <v>0.49</v>
      </c>
      <c r="V14" s="28">
        <v>10.0</v>
      </c>
      <c r="W14" s="29">
        <v>25.89</v>
      </c>
      <c r="X14" s="29">
        <v>11.47</v>
      </c>
      <c r="Y14" s="28">
        <v>4.63</v>
      </c>
      <c r="Z14" s="4">
        <f t="shared" si="2"/>
        <v>4</v>
      </c>
      <c r="AA14" s="28">
        <f t="shared" si="3"/>
        <v>7.2613</v>
      </c>
      <c r="AB14" s="28">
        <f t="shared" si="4"/>
        <v>30.6626192</v>
      </c>
      <c r="AC14" s="32">
        <f t="shared" si="5"/>
        <v>0.1508177384</v>
      </c>
      <c r="AD14" s="4">
        <v>7.0</v>
      </c>
      <c r="AE14" s="32">
        <f t="shared" si="6"/>
        <v>0.4287177384</v>
      </c>
      <c r="AF14" s="33">
        <f t="shared" si="7"/>
        <v>17</v>
      </c>
      <c r="AG14" s="28">
        <f t="shared" si="8"/>
        <v>5.79</v>
      </c>
      <c r="AH14" s="34">
        <f t="shared" si="9"/>
        <v>1175.361285</v>
      </c>
      <c r="AI14" s="32">
        <f t="shared" si="10"/>
        <v>48.42646278</v>
      </c>
      <c r="AJ14" s="33">
        <f t="shared" si="11"/>
        <v>1</v>
      </c>
      <c r="AK14" s="35">
        <v>19.28</v>
      </c>
      <c r="AL14" s="32">
        <f t="shared" si="12"/>
        <v>-0.189234651</v>
      </c>
      <c r="AM14" s="33">
        <f t="shared" si="13"/>
        <v>38</v>
      </c>
      <c r="AN14" s="33">
        <f t="shared" si="14"/>
        <v>0.03958453724</v>
      </c>
      <c r="AO14" s="33">
        <f t="shared" si="15"/>
        <v>12</v>
      </c>
      <c r="AP14" s="33">
        <f t="shared" si="16"/>
        <v>91</v>
      </c>
      <c r="AQ14" s="33">
        <f t="shared" si="17"/>
        <v>12</v>
      </c>
      <c r="AR14" s="33">
        <f t="shared" si="18"/>
        <v>22</v>
      </c>
      <c r="AS14" s="33">
        <f t="shared" si="19"/>
        <v>16</v>
      </c>
      <c r="AT14" s="33">
        <v>12.0</v>
      </c>
      <c r="AU14" s="33"/>
    </row>
    <row r="15" ht="15.75" customHeight="1">
      <c r="A15" s="25" t="s">
        <v>249</v>
      </c>
      <c r="B15" s="25" t="s">
        <v>250</v>
      </c>
      <c r="C15" s="25" t="s">
        <v>181</v>
      </c>
      <c r="D15" s="25" t="s">
        <v>182</v>
      </c>
      <c r="E15" s="25" t="s">
        <v>251</v>
      </c>
      <c r="F15" s="25" t="s">
        <v>252</v>
      </c>
      <c r="G15" s="25" t="s">
        <v>253</v>
      </c>
      <c r="H15" s="25">
        <v>14.76</v>
      </c>
      <c r="I15" s="25" t="s">
        <v>254</v>
      </c>
      <c r="J15" s="26">
        <v>3845530.0</v>
      </c>
      <c r="K15" s="25">
        <v>0.01</v>
      </c>
      <c r="L15" s="4">
        <v>0.0</v>
      </c>
      <c r="M15" s="28" t="s">
        <v>125</v>
      </c>
      <c r="N15" s="25">
        <v>1.37</v>
      </c>
      <c r="O15" s="25">
        <v>2.06</v>
      </c>
      <c r="P15" s="25">
        <v>24.57</v>
      </c>
      <c r="Q15" s="25" t="s">
        <v>241</v>
      </c>
      <c r="R15" s="39">
        <v>0.87</v>
      </c>
      <c r="U15" s="39">
        <v>0.87</v>
      </c>
      <c r="V15" s="28">
        <v>10.0</v>
      </c>
      <c r="W15" s="29">
        <v>0.68</v>
      </c>
      <c r="X15" s="29">
        <v>21.98</v>
      </c>
      <c r="Y15" s="28">
        <v>4.63</v>
      </c>
      <c r="Z15" s="4">
        <f t="shared" si="2"/>
        <v>7</v>
      </c>
      <c r="AA15" s="28">
        <f t="shared" si="3"/>
        <v>9.3019</v>
      </c>
      <c r="AB15" s="28">
        <f t="shared" si="4"/>
        <v>43.44237369</v>
      </c>
      <c r="AC15" s="32">
        <f t="shared" si="5"/>
        <v>0.1022228458</v>
      </c>
      <c r="AD15" s="4">
        <v>7.0</v>
      </c>
      <c r="AE15" s="32">
        <f t="shared" si="6"/>
        <v>0.3822228458</v>
      </c>
      <c r="AF15" s="33">
        <f t="shared" si="7"/>
        <v>19</v>
      </c>
      <c r="AG15" s="28">
        <f t="shared" si="8"/>
        <v>5.79</v>
      </c>
      <c r="AH15" s="34">
        <f t="shared" si="9"/>
        <v>29.78564421</v>
      </c>
      <c r="AI15" s="32">
        <f t="shared" si="10"/>
        <v>1.017997575</v>
      </c>
      <c r="AJ15" s="33">
        <f t="shared" si="11"/>
        <v>24</v>
      </c>
      <c r="AK15" s="35">
        <v>15.18</v>
      </c>
      <c r="AL15" s="32">
        <f t="shared" si="12"/>
        <v>0.02845528455</v>
      </c>
      <c r="AM15" s="33">
        <f t="shared" si="13"/>
        <v>13</v>
      </c>
      <c r="AN15" s="33">
        <f t="shared" si="14"/>
        <v>0.03826161989</v>
      </c>
      <c r="AO15" s="33">
        <f t="shared" si="15"/>
        <v>18</v>
      </c>
      <c r="AP15" s="33">
        <f t="shared" si="16"/>
        <v>91</v>
      </c>
      <c r="AQ15" s="33">
        <f t="shared" si="17"/>
        <v>12</v>
      </c>
      <c r="AR15" s="33">
        <f t="shared" si="18"/>
        <v>12</v>
      </c>
      <c r="AS15" s="33">
        <f t="shared" si="19"/>
        <v>19</v>
      </c>
      <c r="AT15" s="37">
        <v>13.0</v>
      </c>
      <c r="AU15" s="33"/>
    </row>
    <row r="16" ht="15.75" customHeight="1">
      <c r="A16" s="28" t="s">
        <v>255</v>
      </c>
      <c r="B16" s="28" t="s">
        <v>256</v>
      </c>
      <c r="C16" s="28" t="s">
        <v>181</v>
      </c>
      <c r="D16" s="28" t="s">
        <v>203</v>
      </c>
      <c r="E16" s="28" t="s">
        <v>257</v>
      </c>
      <c r="F16" s="28" t="s">
        <v>258</v>
      </c>
      <c r="G16" s="28">
        <v>22.61</v>
      </c>
      <c r="H16" s="28">
        <v>165.67</v>
      </c>
      <c r="I16" s="28">
        <v>0.0729</v>
      </c>
      <c r="J16" s="28" t="s">
        <v>259</v>
      </c>
      <c r="K16" s="28">
        <v>0.13</v>
      </c>
      <c r="L16" s="28">
        <v>111.67</v>
      </c>
      <c r="M16" s="28" t="s">
        <v>125</v>
      </c>
      <c r="N16" s="28">
        <v>0.0</v>
      </c>
      <c r="O16" s="28">
        <v>0.0</v>
      </c>
      <c r="P16" s="28">
        <v>56.84</v>
      </c>
      <c r="Q16" s="28" t="s">
        <v>260</v>
      </c>
      <c r="R16" s="28" t="s">
        <v>261</v>
      </c>
      <c r="S16" s="28" t="s">
        <v>262</v>
      </c>
      <c r="T16" s="28">
        <v>11.04</v>
      </c>
      <c r="U16" s="28">
        <v>2.41</v>
      </c>
      <c r="V16" s="28">
        <v>10.0</v>
      </c>
      <c r="W16" s="28">
        <v>4.27</v>
      </c>
      <c r="X16" s="28">
        <v>22.45</v>
      </c>
      <c r="Y16" s="28">
        <v>4.63</v>
      </c>
      <c r="Z16" s="4">
        <f t="shared" si="2"/>
        <v>7</v>
      </c>
      <c r="AA16" s="28">
        <f t="shared" si="3"/>
        <v>17.5717</v>
      </c>
      <c r="AB16" s="28">
        <f t="shared" si="4"/>
        <v>9.459216588</v>
      </c>
      <c r="AC16" s="32">
        <f t="shared" si="5"/>
        <v>-0.1161532386</v>
      </c>
      <c r="AD16" s="4">
        <v>7.0</v>
      </c>
      <c r="AE16" s="32">
        <f t="shared" si="6"/>
        <v>0.4522467614</v>
      </c>
      <c r="AF16" s="33">
        <f t="shared" si="7"/>
        <v>16</v>
      </c>
      <c r="AG16" s="28">
        <f t="shared" si="8"/>
        <v>5.79</v>
      </c>
      <c r="AH16" s="34">
        <f t="shared" si="9"/>
        <v>396.462494</v>
      </c>
      <c r="AI16" s="32">
        <f t="shared" si="10"/>
        <v>1.393085616</v>
      </c>
      <c r="AJ16" s="33">
        <f t="shared" si="11"/>
        <v>22</v>
      </c>
      <c r="AK16" s="38">
        <v>152.0</v>
      </c>
      <c r="AL16" s="32">
        <f t="shared" si="12"/>
        <v>-0.08251343031</v>
      </c>
      <c r="AM16" s="33">
        <f t="shared" si="13"/>
        <v>21</v>
      </c>
      <c r="AN16" s="33">
        <f t="shared" si="14"/>
        <v>0.0376986957</v>
      </c>
      <c r="AO16" s="33">
        <f t="shared" si="15"/>
        <v>20</v>
      </c>
      <c r="AP16" s="33">
        <f t="shared" si="16"/>
        <v>88</v>
      </c>
      <c r="AQ16" s="33">
        <f t="shared" si="17"/>
        <v>14</v>
      </c>
      <c r="AR16" s="33">
        <f t="shared" si="18"/>
        <v>18</v>
      </c>
      <c r="AS16" s="33">
        <f t="shared" si="19"/>
        <v>17</v>
      </c>
      <c r="AT16" s="33">
        <v>14.0</v>
      </c>
      <c r="AU16" s="33"/>
    </row>
    <row r="17" ht="15.75" customHeight="1">
      <c r="A17" s="28" t="s">
        <v>263</v>
      </c>
      <c r="B17" s="28" t="s">
        <v>264</v>
      </c>
      <c r="C17" s="28" t="s">
        <v>265</v>
      </c>
      <c r="D17" s="28" t="s">
        <v>266</v>
      </c>
      <c r="E17" s="28" t="s">
        <v>120</v>
      </c>
      <c r="F17" s="28" t="s">
        <v>267</v>
      </c>
      <c r="G17" s="28">
        <v>64.96</v>
      </c>
      <c r="H17" s="28">
        <v>287.07</v>
      </c>
      <c r="I17" s="28">
        <v>-0.0045</v>
      </c>
      <c r="J17" s="28" t="s">
        <v>268</v>
      </c>
      <c r="K17" s="28">
        <v>0.7</v>
      </c>
      <c r="L17" s="28">
        <v>41.26</v>
      </c>
      <c r="M17" s="28" t="s">
        <v>125</v>
      </c>
      <c r="N17" s="28">
        <v>0.06</v>
      </c>
      <c r="O17" s="28">
        <v>0.0</v>
      </c>
      <c r="P17" s="28">
        <v>111.51</v>
      </c>
      <c r="Q17" s="28" t="s">
        <v>269</v>
      </c>
      <c r="R17" s="28">
        <v>2.06</v>
      </c>
      <c r="S17" s="28" t="s">
        <v>213</v>
      </c>
      <c r="T17" s="28">
        <v>15.17</v>
      </c>
      <c r="U17" s="28">
        <v>2.08</v>
      </c>
      <c r="V17" s="28">
        <v>10.0</v>
      </c>
      <c r="W17" s="28">
        <v>4.42</v>
      </c>
      <c r="X17" s="28">
        <v>66.48</v>
      </c>
      <c r="Y17" s="28">
        <v>4.63</v>
      </c>
      <c r="Z17" s="4">
        <f t="shared" si="2"/>
        <v>4</v>
      </c>
      <c r="AA17" s="28">
        <f t="shared" si="3"/>
        <v>15.7996</v>
      </c>
      <c r="AB17" s="28">
        <f t="shared" si="4"/>
        <v>8.474863555</v>
      </c>
      <c r="AC17" s="32">
        <f t="shared" si="5"/>
        <v>-0.2549147642</v>
      </c>
      <c r="AD17" s="4">
        <v>7.0</v>
      </c>
      <c r="AE17" s="32">
        <f t="shared" si="6"/>
        <v>0.8607852358</v>
      </c>
      <c r="AF17" s="33">
        <f t="shared" si="7"/>
        <v>5</v>
      </c>
      <c r="AG17" s="28">
        <f t="shared" si="8"/>
        <v>5.79</v>
      </c>
      <c r="AH17" s="34">
        <f t="shared" si="9"/>
        <v>777.6512884</v>
      </c>
      <c r="AI17" s="32">
        <f t="shared" si="10"/>
        <v>1.708925657</v>
      </c>
      <c r="AJ17" s="33">
        <f t="shared" si="11"/>
        <v>19</v>
      </c>
      <c r="AK17" s="38">
        <v>236.0</v>
      </c>
      <c r="AL17" s="32">
        <f t="shared" si="12"/>
        <v>-0.1779008604</v>
      </c>
      <c r="AM17" s="33">
        <f t="shared" si="13"/>
        <v>36</v>
      </c>
      <c r="AN17" s="33">
        <f t="shared" si="14"/>
        <v>0.0384595099</v>
      </c>
      <c r="AO17" s="33">
        <f t="shared" si="15"/>
        <v>14</v>
      </c>
      <c r="AP17" s="33">
        <f t="shared" si="16"/>
        <v>87</v>
      </c>
      <c r="AQ17" s="33">
        <f t="shared" si="17"/>
        <v>15</v>
      </c>
      <c r="AR17" s="33">
        <f t="shared" si="18"/>
        <v>26</v>
      </c>
      <c r="AS17" s="33">
        <f t="shared" si="19"/>
        <v>10</v>
      </c>
      <c r="AT17" s="33">
        <v>15.0</v>
      </c>
      <c r="AU17" s="33"/>
    </row>
    <row r="18" ht="15.75" customHeight="1">
      <c r="A18" s="25" t="s">
        <v>270</v>
      </c>
      <c r="B18" s="25" t="s">
        <v>271</v>
      </c>
      <c r="C18" s="25" t="s">
        <v>236</v>
      </c>
      <c r="D18" s="25" t="s">
        <v>17</v>
      </c>
      <c r="E18" s="25" t="s">
        <v>237</v>
      </c>
      <c r="F18" s="25" t="s">
        <v>272</v>
      </c>
      <c r="G18" s="25" t="s">
        <v>273</v>
      </c>
      <c r="H18" s="25">
        <v>32.85</v>
      </c>
      <c r="I18" s="25" t="s">
        <v>274</v>
      </c>
      <c r="J18" s="26">
        <v>3383182.0</v>
      </c>
      <c r="K18" s="25">
        <v>0.05</v>
      </c>
      <c r="L18" s="25">
        <v>102.41</v>
      </c>
      <c r="M18" s="28" t="s">
        <v>125</v>
      </c>
      <c r="N18" s="25">
        <v>0.39</v>
      </c>
      <c r="O18" s="25">
        <v>0.57</v>
      </c>
      <c r="P18" s="25">
        <v>49.9</v>
      </c>
      <c r="Q18" s="25" t="s">
        <v>275</v>
      </c>
      <c r="R18" s="39">
        <v>1.33</v>
      </c>
      <c r="U18" s="28">
        <v>1.33</v>
      </c>
      <c r="V18" s="28">
        <v>10.0</v>
      </c>
      <c r="W18" s="29">
        <v>2.79</v>
      </c>
      <c r="X18" s="29">
        <v>11.82</v>
      </c>
      <c r="Y18" s="28">
        <v>4.63</v>
      </c>
      <c r="Z18" s="4">
        <f t="shared" si="2"/>
        <v>4</v>
      </c>
      <c r="AA18" s="28">
        <f t="shared" si="3"/>
        <v>11.7721</v>
      </c>
      <c r="AB18" s="28">
        <f t="shared" si="4"/>
        <v>12.86653543</v>
      </c>
      <c r="AC18" s="32">
        <f t="shared" si="5"/>
        <v>0.01219327862</v>
      </c>
      <c r="AD18" s="4">
        <v>7.0</v>
      </c>
      <c r="AE18" s="32">
        <f t="shared" si="6"/>
        <v>0.5207932786</v>
      </c>
      <c r="AF18" s="33">
        <f t="shared" si="7"/>
        <v>11</v>
      </c>
      <c r="AG18" s="28">
        <f t="shared" si="8"/>
        <v>5.79</v>
      </c>
      <c r="AH18" s="34">
        <f t="shared" si="9"/>
        <v>229.6184456</v>
      </c>
      <c r="AI18" s="32">
        <f t="shared" si="10"/>
        <v>5.98990702</v>
      </c>
      <c r="AJ18" s="33">
        <f t="shared" si="11"/>
        <v>7</v>
      </c>
      <c r="AK18" s="38">
        <v>21.84</v>
      </c>
      <c r="AL18" s="32">
        <f t="shared" si="12"/>
        <v>-0.3351598174</v>
      </c>
      <c r="AM18" s="33">
        <f t="shared" si="13"/>
        <v>44</v>
      </c>
      <c r="AN18" s="33">
        <f t="shared" si="14"/>
        <v>0.03862526479</v>
      </c>
      <c r="AO18" s="33">
        <f t="shared" si="15"/>
        <v>13</v>
      </c>
      <c r="AP18" s="33">
        <f t="shared" si="16"/>
        <v>85</v>
      </c>
      <c r="AQ18" s="33">
        <f t="shared" si="17"/>
        <v>16</v>
      </c>
      <c r="AR18" s="33">
        <f t="shared" si="18"/>
        <v>26</v>
      </c>
      <c r="AS18" s="33">
        <f t="shared" si="19"/>
        <v>10</v>
      </c>
      <c r="AT18" s="33">
        <v>16.0</v>
      </c>
      <c r="AU18" s="33"/>
    </row>
    <row r="19" ht="15.75" customHeight="1">
      <c r="A19" s="28" t="s">
        <v>30</v>
      </c>
      <c r="B19" s="28" t="s">
        <v>276</v>
      </c>
      <c r="C19" s="28" t="s">
        <v>181</v>
      </c>
      <c r="D19" s="28" t="s">
        <v>203</v>
      </c>
      <c r="E19" s="28" t="s">
        <v>277</v>
      </c>
      <c r="F19" s="28" t="s">
        <v>278</v>
      </c>
      <c r="G19" s="28">
        <v>31.07</v>
      </c>
      <c r="H19" s="28">
        <v>430.49</v>
      </c>
      <c r="I19" s="28">
        <v>0.0031</v>
      </c>
      <c r="J19" s="28" t="s">
        <v>279</v>
      </c>
      <c r="K19" s="28">
        <v>0.16</v>
      </c>
      <c r="L19" s="28">
        <v>217.31</v>
      </c>
      <c r="M19" s="28" t="s">
        <v>125</v>
      </c>
      <c r="N19" s="28">
        <v>1.38</v>
      </c>
      <c r="O19" s="28">
        <v>0.0</v>
      </c>
      <c r="P19" s="28">
        <v>25.55</v>
      </c>
      <c r="Q19" s="28" t="s">
        <v>260</v>
      </c>
      <c r="R19" s="40" t="s">
        <v>261</v>
      </c>
      <c r="S19" s="28" t="s">
        <v>280</v>
      </c>
      <c r="T19" s="28">
        <v>16.63</v>
      </c>
      <c r="U19" s="28">
        <v>1.26</v>
      </c>
      <c r="V19" s="28">
        <v>10.0</v>
      </c>
      <c r="W19" s="28">
        <v>13.41</v>
      </c>
      <c r="X19" s="28">
        <v>30.99</v>
      </c>
      <c r="Y19" s="28">
        <v>4.63</v>
      </c>
      <c r="Z19" s="4">
        <f t="shared" si="2"/>
        <v>7</v>
      </c>
      <c r="AA19" s="28">
        <f t="shared" si="3"/>
        <v>11.3962</v>
      </c>
      <c r="AB19" s="28">
        <f t="shared" si="4"/>
        <v>22.74691779</v>
      </c>
      <c r="AC19" s="32">
        <f t="shared" si="5"/>
        <v>-0.04321485034</v>
      </c>
      <c r="AD19" s="4">
        <v>7.0</v>
      </c>
      <c r="AE19" s="32">
        <f t="shared" si="6"/>
        <v>0.2260851497</v>
      </c>
      <c r="AF19" s="33">
        <f t="shared" si="7"/>
        <v>26</v>
      </c>
      <c r="AG19" s="28">
        <f t="shared" si="8"/>
        <v>5.79</v>
      </c>
      <c r="AH19" s="34">
        <f t="shared" si="9"/>
        <v>607.3641451</v>
      </c>
      <c r="AI19" s="32">
        <f t="shared" si="10"/>
        <v>0.4108670238</v>
      </c>
      <c r="AJ19" s="33">
        <f t="shared" si="11"/>
        <v>33</v>
      </c>
      <c r="AK19" s="38">
        <v>534.0</v>
      </c>
      <c r="AL19" s="32">
        <f t="shared" si="12"/>
        <v>0.2404469326</v>
      </c>
      <c r="AM19" s="33">
        <f t="shared" si="13"/>
        <v>3</v>
      </c>
      <c r="AN19" s="33">
        <f t="shared" si="14"/>
        <v>0.03825361102</v>
      </c>
      <c r="AO19" s="33">
        <f t="shared" si="15"/>
        <v>19</v>
      </c>
      <c r="AP19" s="33">
        <f t="shared" si="16"/>
        <v>85</v>
      </c>
      <c r="AQ19" s="33">
        <f t="shared" si="17"/>
        <v>16</v>
      </c>
      <c r="AR19" s="33">
        <f t="shared" si="18"/>
        <v>0</v>
      </c>
      <c r="AS19" s="33">
        <f t="shared" si="19"/>
        <v>25</v>
      </c>
      <c r="AT19" s="37">
        <v>17.0</v>
      </c>
      <c r="AU19" s="33"/>
    </row>
    <row r="20" ht="15.75" customHeight="1">
      <c r="A20" s="25" t="s">
        <v>281</v>
      </c>
      <c r="B20" s="25" t="s">
        <v>282</v>
      </c>
      <c r="C20" s="25" t="s">
        <v>236</v>
      </c>
      <c r="D20" s="25" t="s">
        <v>17</v>
      </c>
      <c r="E20" s="25" t="s">
        <v>244</v>
      </c>
      <c r="F20" s="25" t="s">
        <v>283</v>
      </c>
      <c r="G20" s="25">
        <v>13.3</v>
      </c>
      <c r="H20" s="25">
        <v>19.26</v>
      </c>
      <c r="I20" s="25">
        <v>-302.0</v>
      </c>
      <c r="J20" s="25" t="s">
        <v>284</v>
      </c>
      <c r="K20" s="25">
        <v>0.05</v>
      </c>
      <c r="L20" s="25">
        <v>22.98</v>
      </c>
      <c r="M20" s="28" t="s">
        <v>125</v>
      </c>
      <c r="N20" s="25">
        <v>2.1</v>
      </c>
      <c r="O20" s="25">
        <v>0.0</v>
      </c>
      <c r="P20" s="25">
        <v>18.8</v>
      </c>
      <c r="Q20" s="25" t="s">
        <v>285</v>
      </c>
      <c r="R20" s="29">
        <v>1.73</v>
      </c>
      <c r="U20" s="4">
        <v>0.79</v>
      </c>
      <c r="V20" s="28">
        <v>10.0</v>
      </c>
      <c r="W20" s="29">
        <v>22.88</v>
      </c>
      <c r="X20" s="29">
        <v>13.3</v>
      </c>
      <c r="Y20" s="28">
        <v>4.63</v>
      </c>
      <c r="Z20" s="4">
        <f t="shared" si="2"/>
        <v>4</v>
      </c>
      <c r="AA20" s="28">
        <f t="shared" si="3"/>
        <v>8.8723</v>
      </c>
      <c r="AB20" s="28">
        <f t="shared" si="4"/>
        <v>20.52418776</v>
      </c>
      <c r="AC20" s="32">
        <f t="shared" si="5"/>
        <v>0.06393803284</v>
      </c>
      <c r="AD20" s="4">
        <v>7.0</v>
      </c>
      <c r="AE20" s="32">
        <f t="shared" si="6"/>
        <v>0.2729380328</v>
      </c>
      <c r="AF20" s="33">
        <f t="shared" si="7"/>
        <v>24</v>
      </c>
      <c r="AG20" s="28">
        <f t="shared" si="8"/>
        <v>5.79</v>
      </c>
      <c r="AH20" s="34">
        <f t="shared" si="9"/>
        <v>801.5508117</v>
      </c>
      <c r="AI20" s="32">
        <f t="shared" si="10"/>
        <v>40.61738379</v>
      </c>
      <c r="AJ20" s="33">
        <f t="shared" si="11"/>
        <v>2</v>
      </c>
      <c r="AK20" s="35">
        <v>15.64</v>
      </c>
      <c r="AL20" s="32">
        <f t="shared" si="12"/>
        <v>-0.1879543094</v>
      </c>
      <c r="AM20" s="33">
        <f t="shared" si="13"/>
        <v>37</v>
      </c>
      <c r="AN20" s="33">
        <f t="shared" si="14"/>
        <v>0.03834307251</v>
      </c>
      <c r="AO20" s="33">
        <f t="shared" si="15"/>
        <v>16</v>
      </c>
      <c r="AP20" s="33">
        <f t="shared" si="16"/>
        <v>84</v>
      </c>
      <c r="AQ20" s="33">
        <f t="shared" si="17"/>
        <v>18</v>
      </c>
      <c r="AR20" s="33">
        <f t="shared" si="18"/>
        <v>14</v>
      </c>
      <c r="AS20" s="33">
        <f t="shared" si="19"/>
        <v>18</v>
      </c>
      <c r="AT20" s="33">
        <v>18.0</v>
      </c>
      <c r="AU20" s="33"/>
    </row>
    <row r="21" ht="15.75" customHeight="1">
      <c r="A21" s="25" t="s">
        <v>286</v>
      </c>
      <c r="B21" s="25" t="s">
        <v>287</v>
      </c>
      <c r="C21" s="25" t="s">
        <v>236</v>
      </c>
      <c r="D21" s="25" t="s">
        <v>17</v>
      </c>
      <c r="E21" s="25" t="s">
        <v>120</v>
      </c>
      <c r="F21" s="25" t="s">
        <v>288</v>
      </c>
      <c r="G21" s="25" t="s">
        <v>289</v>
      </c>
      <c r="H21" s="25">
        <v>74.85</v>
      </c>
      <c r="I21" s="25" t="s">
        <v>290</v>
      </c>
      <c r="J21" s="26">
        <v>667318.0</v>
      </c>
      <c r="K21" s="25">
        <v>1.0</v>
      </c>
      <c r="L21" s="25">
        <v>12.85</v>
      </c>
      <c r="M21" s="28" t="s">
        <v>125</v>
      </c>
      <c r="N21" s="25">
        <v>2.96</v>
      </c>
      <c r="O21" s="25">
        <v>0.0</v>
      </c>
      <c r="P21" s="25">
        <v>48.0</v>
      </c>
      <c r="Q21" s="25" t="s">
        <v>291</v>
      </c>
      <c r="R21" s="39">
        <v>0.29</v>
      </c>
      <c r="U21" s="41">
        <f t="shared" ref="U21:U24" si="21">IF(E21="USA",R21,"completar")</f>
        <v>0.29</v>
      </c>
      <c r="V21" s="28">
        <v>10.0</v>
      </c>
      <c r="W21" s="29">
        <v>3.57</v>
      </c>
      <c r="X21" s="29">
        <v>21.24</v>
      </c>
      <c r="Y21" s="28">
        <v>4.63</v>
      </c>
      <c r="Z21" s="4">
        <f t="shared" si="2"/>
        <v>4</v>
      </c>
      <c r="AA21" s="28">
        <f t="shared" si="3"/>
        <v>6.1873</v>
      </c>
      <c r="AB21" s="28">
        <f t="shared" si="4"/>
        <v>45.71846569</v>
      </c>
      <c r="AC21" s="32">
        <f t="shared" si="5"/>
        <v>0.1157385734</v>
      </c>
      <c r="AD21" s="4">
        <v>7.0</v>
      </c>
      <c r="AE21" s="32">
        <f t="shared" si="6"/>
        <v>0.6253385734</v>
      </c>
      <c r="AF21" s="33">
        <f t="shared" si="7"/>
        <v>8</v>
      </c>
      <c r="AG21" s="28">
        <f t="shared" si="8"/>
        <v>5.79</v>
      </c>
      <c r="AH21" s="34">
        <f t="shared" si="9"/>
        <v>283.5036269</v>
      </c>
      <c r="AI21" s="32">
        <f t="shared" si="10"/>
        <v>2.787623606</v>
      </c>
      <c r="AJ21" s="33">
        <f t="shared" si="11"/>
        <v>10</v>
      </c>
      <c r="AK21" s="38">
        <v>41.91</v>
      </c>
      <c r="AL21" s="32">
        <f t="shared" si="12"/>
        <v>-0.4400801603</v>
      </c>
      <c r="AM21" s="33">
        <f t="shared" si="13"/>
        <v>46</v>
      </c>
      <c r="AN21" s="33">
        <f t="shared" si="14"/>
        <v>0.0384255589</v>
      </c>
      <c r="AO21" s="33">
        <f t="shared" si="15"/>
        <v>15</v>
      </c>
      <c r="AP21" s="33">
        <f t="shared" si="16"/>
        <v>83</v>
      </c>
      <c r="AQ21" s="33">
        <f t="shared" si="17"/>
        <v>19</v>
      </c>
      <c r="AR21" s="33">
        <f t="shared" si="18"/>
        <v>24</v>
      </c>
      <c r="AS21" s="33">
        <f t="shared" si="19"/>
        <v>14</v>
      </c>
      <c r="AT21" s="33">
        <v>19.0</v>
      </c>
      <c r="AU21" s="33"/>
    </row>
    <row r="22" ht="15.75" customHeight="1">
      <c r="A22" s="25" t="s">
        <v>292</v>
      </c>
      <c r="B22" s="25" t="s">
        <v>293</v>
      </c>
      <c r="C22" s="25" t="s">
        <v>236</v>
      </c>
      <c r="D22" s="25" t="s">
        <v>17</v>
      </c>
      <c r="E22" s="25" t="s">
        <v>120</v>
      </c>
      <c r="F22" s="25" t="s">
        <v>294</v>
      </c>
      <c r="G22" s="25" t="s">
        <v>295</v>
      </c>
      <c r="H22" s="25">
        <v>95.07</v>
      </c>
      <c r="I22" s="25" t="s">
        <v>296</v>
      </c>
      <c r="J22" s="26">
        <v>1718503.0</v>
      </c>
      <c r="K22" s="25">
        <v>0.17</v>
      </c>
      <c r="L22" s="25">
        <v>24.12</v>
      </c>
      <c r="M22" s="28" t="s">
        <v>125</v>
      </c>
      <c r="N22" s="25">
        <v>4.81</v>
      </c>
      <c r="O22" s="25">
        <v>0.0</v>
      </c>
      <c r="P22" s="25">
        <v>38.83</v>
      </c>
      <c r="Q22" s="25" t="s">
        <v>291</v>
      </c>
      <c r="R22" s="39">
        <v>0.7</v>
      </c>
      <c r="U22" s="41">
        <f t="shared" si="21"/>
        <v>0.7</v>
      </c>
      <c r="V22" s="28">
        <v>10.0</v>
      </c>
      <c r="W22" s="29">
        <v>7.46</v>
      </c>
      <c r="X22" s="29">
        <v>12.72</v>
      </c>
      <c r="Y22" s="28">
        <v>4.63</v>
      </c>
      <c r="Z22" s="4">
        <f t="shared" si="2"/>
        <v>4</v>
      </c>
      <c r="AA22" s="28">
        <f t="shared" si="3"/>
        <v>8.389</v>
      </c>
      <c r="AB22" s="28">
        <f t="shared" si="4"/>
        <v>22.78423331</v>
      </c>
      <c r="AC22" s="32">
        <f t="shared" si="5"/>
        <v>0.08683571398</v>
      </c>
      <c r="AD22" s="4">
        <v>7.0</v>
      </c>
      <c r="AE22" s="32">
        <f t="shared" si="6"/>
        <v>0.523235714</v>
      </c>
      <c r="AF22" s="33">
        <f t="shared" si="7"/>
        <v>10</v>
      </c>
      <c r="AG22" s="28">
        <f t="shared" si="8"/>
        <v>5.79</v>
      </c>
      <c r="AH22" s="34">
        <f t="shared" si="9"/>
        <v>488.4483316</v>
      </c>
      <c r="AI22" s="32">
        <f t="shared" si="10"/>
        <v>4.137775656</v>
      </c>
      <c r="AJ22" s="33">
        <f t="shared" si="11"/>
        <v>9</v>
      </c>
      <c r="AK22" s="38">
        <v>56.47</v>
      </c>
      <c r="AL22" s="32">
        <f t="shared" si="12"/>
        <v>-0.4060166193</v>
      </c>
      <c r="AM22" s="33">
        <f t="shared" si="13"/>
        <v>45</v>
      </c>
      <c r="AN22" s="33">
        <f t="shared" si="14"/>
        <v>0.03830227743</v>
      </c>
      <c r="AO22" s="33">
        <f t="shared" si="15"/>
        <v>17</v>
      </c>
      <c r="AP22" s="33">
        <f t="shared" si="16"/>
        <v>83</v>
      </c>
      <c r="AQ22" s="33">
        <f t="shared" si="17"/>
        <v>19</v>
      </c>
      <c r="AR22" s="33">
        <f t="shared" si="18"/>
        <v>24</v>
      </c>
      <c r="AS22" s="33">
        <f t="shared" si="19"/>
        <v>14</v>
      </c>
      <c r="AT22" s="37">
        <v>20.0</v>
      </c>
      <c r="AU22" s="33"/>
    </row>
    <row r="23" ht="15.75" customHeight="1">
      <c r="A23" s="25" t="s">
        <v>297</v>
      </c>
      <c r="B23" s="25" t="s">
        <v>298</v>
      </c>
      <c r="C23" s="25" t="s">
        <v>299</v>
      </c>
      <c r="D23" s="25" t="s">
        <v>300</v>
      </c>
      <c r="E23" s="25" t="s">
        <v>120</v>
      </c>
      <c r="F23" s="25" t="s">
        <v>301</v>
      </c>
      <c r="G23" s="25" t="s">
        <v>302</v>
      </c>
      <c r="H23" s="25">
        <v>186.81</v>
      </c>
      <c r="I23" s="25" t="s">
        <v>303</v>
      </c>
      <c r="J23" s="26">
        <v>189907.0</v>
      </c>
      <c r="K23" s="25">
        <v>0.68</v>
      </c>
      <c r="L23" s="25">
        <v>18.36</v>
      </c>
      <c r="M23" s="28" t="s">
        <v>125</v>
      </c>
      <c r="N23" s="25">
        <v>0.0</v>
      </c>
      <c r="O23" s="25">
        <v>4.34</v>
      </c>
      <c r="P23" s="25">
        <v>8.27</v>
      </c>
      <c r="Q23" s="25" t="s">
        <v>304</v>
      </c>
      <c r="R23" s="29">
        <v>2.58</v>
      </c>
      <c r="U23" s="28">
        <f t="shared" si="21"/>
        <v>2.58</v>
      </c>
      <c r="V23" s="28">
        <v>10.0</v>
      </c>
      <c r="W23" s="29">
        <v>26.31</v>
      </c>
      <c r="X23" s="29">
        <v>7.41</v>
      </c>
      <c r="Y23" s="28">
        <v>4.63</v>
      </c>
      <c r="Z23" s="4">
        <f t="shared" si="2"/>
        <v>5</v>
      </c>
      <c r="AA23" s="28">
        <f t="shared" si="3"/>
        <v>18.4846</v>
      </c>
      <c r="AB23" s="28">
        <f t="shared" si="4"/>
        <v>7.415866989</v>
      </c>
      <c r="AC23" s="32">
        <f t="shared" si="5"/>
        <v>0.000113071123</v>
      </c>
      <c r="AD23" s="4">
        <v>7.0</v>
      </c>
      <c r="AE23" s="32">
        <f t="shared" si="6"/>
        <v>0.1262130711</v>
      </c>
      <c r="AF23" s="33">
        <f t="shared" si="7"/>
        <v>37</v>
      </c>
      <c r="AG23" s="28">
        <f t="shared" si="8"/>
        <v>5.79</v>
      </c>
      <c r="AH23" s="34">
        <f t="shared" si="9"/>
        <v>500.6443109</v>
      </c>
      <c r="AI23" s="32">
        <f t="shared" si="10"/>
        <v>1.679965264</v>
      </c>
      <c r="AJ23" s="33">
        <f t="shared" si="11"/>
        <v>20</v>
      </c>
      <c r="AK23" s="35">
        <v>202.06</v>
      </c>
      <c r="AL23" s="32">
        <f t="shared" si="12"/>
        <v>0.08163374552</v>
      </c>
      <c r="AM23" s="33">
        <f t="shared" si="13"/>
        <v>11</v>
      </c>
      <c r="AN23" s="33">
        <f t="shared" si="14"/>
        <v>0.03689378539</v>
      </c>
      <c r="AO23" s="33">
        <f t="shared" si="15"/>
        <v>21</v>
      </c>
      <c r="AP23" s="33">
        <f t="shared" si="16"/>
        <v>79</v>
      </c>
      <c r="AQ23" s="33">
        <f t="shared" si="17"/>
        <v>21</v>
      </c>
      <c r="AR23" s="33">
        <f t="shared" si="18"/>
        <v>6</v>
      </c>
      <c r="AS23" s="33">
        <f t="shared" si="19"/>
        <v>20</v>
      </c>
      <c r="AT23" s="33">
        <v>21.0</v>
      </c>
      <c r="AU23" s="33"/>
    </row>
    <row r="24" ht="15.75" customHeight="1">
      <c r="A24" s="25" t="s">
        <v>305</v>
      </c>
      <c r="B24" s="25" t="s">
        <v>306</v>
      </c>
      <c r="C24" s="25" t="s">
        <v>181</v>
      </c>
      <c r="D24" s="25" t="s">
        <v>307</v>
      </c>
      <c r="E24" s="25" t="s">
        <v>120</v>
      </c>
      <c r="F24" s="25" t="s">
        <v>308</v>
      </c>
      <c r="G24" s="25" t="s">
        <v>309</v>
      </c>
      <c r="H24" s="25">
        <v>203.62</v>
      </c>
      <c r="I24" s="25" t="s">
        <v>310</v>
      </c>
      <c r="J24" s="26">
        <v>7906624.0</v>
      </c>
      <c r="K24" s="25">
        <v>0.0</v>
      </c>
      <c r="L24" s="4">
        <v>0.0</v>
      </c>
      <c r="M24" s="28" t="s">
        <v>125</v>
      </c>
      <c r="N24" s="25">
        <v>0.0</v>
      </c>
      <c r="O24" s="25">
        <v>0.24</v>
      </c>
      <c r="P24" s="25">
        <v>39.88</v>
      </c>
      <c r="Q24" s="25" t="s">
        <v>311</v>
      </c>
      <c r="R24" s="39">
        <v>1.62</v>
      </c>
      <c r="U24" s="41">
        <f t="shared" si="21"/>
        <v>1.62</v>
      </c>
      <c r="V24" s="28">
        <v>10.0</v>
      </c>
      <c r="W24" s="29">
        <v>3.16</v>
      </c>
      <c r="X24" s="29">
        <v>64.2</v>
      </c>
      <c r="Y24" s="28">
        <v>4.63</v>
      </c>
      <c r="Z24" s="4">
        <f t="shared" si="2"/>
        <v>7</v>
      </c>
      <c r="AA24" s="28">
        <f t="shared" si="3"/>
        <v>13.3294</v>
      </c>
      <c r="AB24" s="28">
        <f t="shared" si="4"/>
        <v>15.79928587</v>
      </c>
      <c r="AC24" s="32">
        <f t="shared" si="5"/>
        <v>-0.1815076348</v>
      </c>
      <c r="AD24" s="4">
        <v>7.0</v>
      </c>
      <c r="AE24" s="32">
        <f t="shared" si="6"/>
        <v>0.2196923652</v>
      </c>
      <c r="AF24" s="33">
        <f t="shared" si="7"/>
        <v>28</v>
      </c>
      <c r="AG24" s="28">
        <f t="shared" si="8"/>
        <v>5.79</v>
      </c>
      <c r="AH24" s="34">
        <f t="shared" si="9"/>
        <v>211.9459482</v>
      </c>
      <c r="AI24" s="32">
        <f t="shared" si="10"/>
        <v>0.04088963848</v>
      </c>
      <c r="AJ24" s="33">
        <f t="shared" si="11"/>
        <v>37</v>
      </c>
      <c r="AK24" s="38">
        <v>230.0</v>
      </c>
      <c r="AL24" s="32">
        <f t="shared" si="12"/>
        <v>0.1295550535</v>
      </c>
      <c r="AM24" s="33">
        <f t="shared" si="13"/>
        <v>7</v>
      </c>
      <c r="AN24" s="33">
        <f t="shared" si="14"/>
        <v>0.03659828785</v>
      </c>
      <c r="AO24" s="33">
        <f t="shared" si="15"/>
        <v>22</v>
      </c>
      <c r="AP24" s="33">
        <f t="shared" si="16"/>
        <v>75</v>
      </c>
      <c r="AQ24" s="33">
        <f t="shared" si="17"/>
        <v>22</v>
      </c>
      <c r="AR24" s="33">
        <f t="shared" si="18"/>
        <v>-4</v>
      </c>
      <c r="AS24" s="33">
        <f t="shared" si="19"/>
        <v>27</v>
      </c>
      <c r="AT24" s="33">
        <v>22.0</v>
      </c>
      <c r="AU24" s="33"/>
    </row>
    <row r="25" ht="15.75" customHeight="1">
      <c r="A25" s="25" t="s">
        <v>45</v>
      </c>
      <c r="B25" s="25" t="s">
        <v>312</v>
      </c>
      <c r="C25" s="25" t="s">
        <v>236</v>
      </c>
      <c r="D25" s="25" t="s">
        <v>17</v>
      </c>
      <c r="E25" s="25" t="s">
        <v>237</v>
      </c>
      <c r="F25" s="25" t="s">
        <v>313</v>
      </c>
      <c r="G25" s="25" t="s">
        <v>314</v>
      </c>
      <c r="H25" s="25">
        <v>40.91</v>
      </c>
      <c r="I25" s="25" t="s">
        <v>315</v>
      </c>
      <c r="J25" s="26">
        <v>1.0623E7</v>
      </c>
      <c r="K25" s="25">
        <v>0.13</v>
      </c>
      <c r="L25" s="25">
        <v>41.26</v>
      </c>
      <c r="M25" s="28" t="s">
        <v>125</v>
      </c>
      <c r="N25" s="25">
        <v>2.24</v>
      </c>
      <c r="O25" s="25">
        <v>3.33</v>
      </c>
      <c r="P25" s="25">
        <v>19.79</v>
      </c>
      <c r="Q25" s="25" t="s">
        <v>316</v>
      </c>
      <c r="R25" s="39">
        <v>1.1</v>
      </c>
      <c r="U25" s="41">
        <v>1.11</v>
      </c>
      <c r="V25" s="28">
        <v>10.0</v>
      </c>
      <c r="W25" s="29">
        <v>3.87</v>
      </c>
      <c r="X25" s="29">
        <v>10.52</v>
      </c>
      <c r="Y25" s="28">
        <v>4.63</v>
      </c>
      <c r="Z25" s="4">
        <f t="shared" si="2"/>
        <v>4</v>
      </c>
      <c r="AA25" s="28">
        <f t="shared" si="3"/>
        <v>10.5907</v>
      </c>
      <c r="AB25" s="28">
        <f t="shared" si="4"/>
        <v>15.17289514</v>
      </c>
      <c r="AC25" s="32">
        <f t="shared" si="5"/>
        <v>0.05371173481</v>
      </c>
      <c r="AD25" s="4">
        <v>7.0</v>
      </c>
      <c r="AE25" s="32">
        <f t="shared" si="6"/>
        <v>0.3073117348</v>
      </c>
      <c r="AF25" s="33">
        <f t="shared" si="7"/>
        <v>22</v>
      </c>
      <c r="AG25" s="28">
        <f t="shared" si="8"/>
        <v>5.79</v>
      </c>
      <c r="AH25" s="34">
        <f t="shared" si="9"/>
        <v>141.4000415</v>
      </c>
      <c r="AI25" s="32">
        <f t="shared" si="10"/>
        <v>2.456368649</v>
      </c>
      <c r="AJ25" s="33">
        <f t="shared" si="11"/>
        <v>12</v>
      </c>
      <c r="AK25" s="38">
        <v>29.0</v>
      </c>
      <c r="AL25" s="32">
        <f t="shared" si="12"/>
        <v>-0.2911268638</v>
      </c>
      <c r="AM25" s="33">
        <f t="shared" si="13"/>
        <v>43</v>
      </c>
      <c r="AN25" s="33">
        <f t="shared" si="14"/>
        <v>0.0357927487</v>
      </c>
      <c r="AO25" s="33">
        <f t="shared" si="15"/>
        <v>23</v>
      </c>
      <c r="AP25" s="33">
        <f t="shared" si="16"/>
        <v>70</v>
      </c>
      <c r="AQ25" s="33">
        <f t="shared" si="17"/>
        <v>23</v>
      </c>
      <c r="AR25" s="33">
        <f t="shared" si="18"/>
        <v>6</v>
      </c>
      <c r="AS25" s="33">
        <f t="shared" si="19"/>
        <v>20</v>
      </c>
      <c r="AT25" s="33">
        <v>23.0</v>
      </c>
      <c r="AU25" s="33"/>
    </row>
    <row r="26" ht="15.75" customHeight="1">
      <c r="A26" s="25" t="s">
        <v>317</v>
      </c>
      <c r="B26" s="25" t="s">
        <v>318</v>
      </c>
      <c r="C26" s="25" t="s">
        <v>188</v>
      </c>
      <c r="D26" s="25" t="s">
        <v>189</v>
      </c>
      <c r="E26" s="25" t="s">
        <v>120</v>
      </c>
      <c r="F26" s="25" t="s">
        <v>319</v>
      </c>
      <c r="G26" s="25" t="s">
        <v>320</v>
      </c>
      <c r="H26" s="25">
        <v>32.68</v>
      </c>
      <c r="I26" s="25" t="s">
        <v>321</v>
      </c>
      <c r="J26" s="26">
        <v>394173.0</v>
      </c>
      <c r="K26" s="25">
        <v>7.79</v>
      </c>
      <c r="L26" s="28">
        <f>M26</f>
        <v>14.26</v>
      </c>
      <c r="M26" s="4">
        <v>14.26</v>
      </c>
      <c r="N26" s="25">
        <v>0.61</v>
      </c>
      <c r="O26" s="25">
        <v>1.82</v>
      </c>
      <c r="P26" s="25">
        <v>18.5</v>
      </c>
      <c r="R26" s="39">
        <v>0.52</v>
      </c>
      <c r="U26" s="41">
        <f>IF(E26="USA",R26,"completar")</f>
        <v>0.52</v>
      </c>
      <c r="V26" s="28">
        <v>10.0</v>
      </c>
      <c r="W26" s="42">
        <v>1.38</v>
      </c>
      <c r="X26" s="29">
        <v>5.63</v>
      </c>
      <c r="Y26" s="28">
        <v>4.63</v>
      </c>
      <c r="Z26" s="4">
        <f t="shared" si="2"/>
        <v>4</v>
      </c>
      <c r="AA26" s="28">
        <f t="shared" si="3"/>
        <v>7.4224</v>
      </c>
      <c r="AB26" s="28">
        <f t="shared" si="4"/>
        <v>29.21926134</v>
      </c>
      <c r="AC26" s="32">
        <f t="shared" si="5"/>
        <v>0.2652193753</v>
      </c>
      <c r="AD26" s="4">
        <v>7.0</v>
      </c>
      <c r="AE26" s="32">
        <f t="shared" si="6"/>
        <v>0.4745193753</v>
      </c>
      <c r="AF26" s="33">
        <f t="shared" si="7"/>
        <v>15</v>
      </c>
      <c r="AG26" s="28">
        <f t="shared" si="8"/>
        <v>5.79</v>
      </c>
      <c r="AH26" s="34">
        <f t="shared" si="9"/>
        <v>47.71606218</v>
      </c>
      <c r="AI26" s="32">
        <f t="shared" si="10"/>
        <v>0.4600998218</v>
      </c>
      <c r="AJ26" s="33">
        <f t="shared" si="11"/>
        <v>31</v>
      </c>
      <c r="AK26" s="38">
        <v>27.45</v>
      </c>
      <c r="AL26" s="32">
        <f t="shared" si="12"/>
        <v>-0.1600367197</v>
      </c>
      <c r="AM26" s="33">
        <f t="shared" si="13"/>
        <v>31</v>
      </c>
      <c r="AN26" s="33">
        <f t="shared" si="14"/>
        <v>0.03531135531</v>
      </c>
      <c r="AO26" s="33">
        <f t="shared" si="15"/>
        <v>24</v>
      </c>
      <c r="AP26" s="33">
        <f t="shared" si="16"/>
        <v>70</v>
      </c>
      <c r="AQ26" s="33">
        <f t="shared" si="17"/>
        <v>23</v>
      </c>
      <c r="AR26" s="33">
        <f t="shared" si="18"/>
        <v>6</v>
      </c>
      <c r="AS26" s="33">
        <f t="shared" si="19"/>
        <v>20</v>
      </c>
      <c r="AT26" s="37">
        <v>24.0</v>
      </c>
      <c r="AU26" s="33"/>
    </row>
    <row r="27" ht="15.75" customHeight="1">
      <c r="A27" s="28" t="s">
        <v>322</v>
      </c>
      <c r="B27" s="28" t="s">
        <v>323</v>
      </c>
      <c r="C27" s="28" t="s">
        <v>265</v>
      </c>
      <c r="D27" s="28" t="s">
        <v>324</v>
      </c>
      <c r="E27" s="28" t="s">
        <v>120</v>
      </c>
      <c r="F27" s="28" t="s">
        <v>325</v>
      </c>
      <c r="G27" s="28">
        <v>39.86</v>
      </c>
      <c r="H27" s="28">
        <v>553.16</v>
      </c>
      <c r="I27" s="28">
        <v>0.0077</v>
      </c>
      <c r="J27" s="28" t="s">
        <v>326</v>
      </c>
      <c r="K27" s="28">
        <v>0.24</v>
      </c>
      <c r="L27" s="28">
        <v>36.14</v>
      </c>
      <c r="M27" s="28" t="s">
        <v>125</v>
      </c>
      <c r="N27" s="28">
        <v>0.0</v>
      </c>
      <c r="O27" s="28">
        <v>0.0</v>
      </c>
      <c r="P27" s="28">
        <v>49.44</v>
      </c>
      <c r="Q27" s="28" t="s">
        <v>260</v>
      </c>
      <c r="R27" s="28">
        <v>1.9</v>
      </c>
      <c r="S27" s="28" t="s">
        <v>213</v>
      </c>
      <c r="T27" s="28">
        <v>15.17</v>
      </c>
      <c r="U27" s="28">
        <v>1.89</v>
      </c>
      <c r="V27" s="28">
        <v>10.0</v>
      </c>
      <c r="W27" s="28">
        <v>13.87</v>
      </c>
      <c r="X27" s="28">
        <v>41.53</v>
      </c>
      <c r="Y27" s="28">
        <v>4.63</v>
      </c>
      <c r="Z27" s="4">
        <f t="shared" si="2"/>
        <v>4</v>
      </c>
      <c r="AA27" s="28">
        <f t="shared" si="3"/>
        <v>14.7793</v>
      </c>
      <c r="AB27" s="28">
        <f t="shared" si="4"/>
        <v>9.277040253</v>
      </c>
      <c r="AC27" s="32">
        <f t="shared" si="5"/>
        <v>-0.1927523542</v>
      </c>
      <c r="AD27" s="4">
        <v>7.0</v>
      </c>
      <c r="AE27" s="32">
        <f t="shared" si="6"/>
        <v>0.3016476458</v>
      </c>
      <c r="AF27" s="33">
        <f t="shared" si="7"/>
        <v>23</v>
      </c>
      <c r="AG27" s="28">
        <f t="shared" si="8"/>
        <v>5.79</v>
      </c>
      <c r="AH27" s="34">
        <f t="shared" si="9"/>
        <v>1131.811164</v>
      </c>
      <c r="AI27" s="32">
        <f t="shared" si="10"/>
        <v>1.046082804</v>
      </c>
      <c r="AJ27" s="33">
        <f t="shared" si="11"/>
        <v>23</v>
      </c>
      <c r="AK27" s="38">
        <v>460.06</v>
      </c>
      <c r="AL27" s="32">
        <f t="shared" si="12"/>
        <v>-0.1683057343</v>
      </c>
      <c r="AM27" s="33">
        <f t="shared" si="13"/>
        <v>34</v>
      </c>
      <c r="AN27" s="33">
        <f t="shared" si="14"/>
        <v>0.03473468341</v>
      </c>
      <c r="AO27" s="33">
        <f t="shared" si="15"/>
        <v>25</v>
      </c>
      <c r="AP27" s="33">
        <f t="shared" si="16"/>
        <v>67</v>
      </c>
      <c r="AQ27" s="33">
        <f t="shared" si="17"/>
        <v>25</v>
      </c>
      <c r="AR27" s="33">
        <f t="shared" si="18"/>
        <v>2</v>
      </c>
      <c r="AS27" s="33">
        <f t="shared" si="19"/>
        <v>24</v>
      </c>
      <c r="AT27" s="33">
        <v>25.0</v>
      </c>
      <c r="AU27" s="33"/>
    </row>
    <row r="28" ht="15.75" customHeight="1">
      <c r="A28" s="25" t="s">
        <v>327</v>
      </c>
      <c r="B28" s="25" t="s">
        <v>328</v>
      </c>
      <c r="C28" s="25" t="s">
        <v>299</v>
      </c>
      <c r="D28" s="25" t="s">
        <v>329</v>
      </c>
      <c r="E28" s="25" t="s">
        <v>120</v>
      </c>
      <c r="F28" s="25" t="s">
        <v>330</v>
      </c>
      <c r="G28" s="25" t="s">
        <v>331</v>
      </c>
      <c r="H28" s="25">
        <v>47.38</v>
      </c>
      <c r="I28" s="25" t="s">
        <v>332</v>
      </c>
      <c r="J28" s="26">
        <v>739304.0</v>
      </c>
      <c r="K28" s="25">
        <v>0.05</v>
      </c>
      <c r="L28" s="4">
        <v>0.0</v>
      </c>
      <c r="M28" s="28" t="s">
        <v>125</v>
      </c>
      <c r="N28" s="25">
        <v>0.0</v>
      </c>
      <c r="O28" s="25">
        <v>2.13</v>
      </c>
      <c r="P28" s="25">
        <v>24.98</v>
      </c>
      <c r="Q28" s="25" t="s">
        <v>261</v>
      </c>
      <c r="R28" s="39">
        <v>2.42</v>
      </c>
      <c r="U28" s="41">
        <f>IF(E28="USA",R28,"completar")</f>
        <v>2.42</v>
      </c>
      <c r="V28" s="28">
        <v>10.0</v>
      </c>
      <c r="W28" s="29">
        <v>2.08</v>
      </c>
      <c r="X28" s="29">
        <v>22.84</v>
      </c>
      <c r="Y28" s="28">
        <v>4.63</v>
      </c>
      <c r="Z28" s="4">
        <f t="shared" si="2"/>
        <v>5</v>
      </c>
      <c r="AA28" s="28">
        <f t="shared" si="3"/>
        <v>17.6254</v>
      </c>
      <c r="AB28" s="28">
        <f t="shared" si="4"/>
        <v>7.920541131</v>
      </c>
      <c r="AC28" s="32">
        <f t="shared" si="5"/>
        <v>-0.1404045506</v>
      </c>
      <c r="AD28" s="4">
        <v>7.0</v>
      </c>
      <c r="AE28" s="32">
        <f t="shared" si="6"/>
        <v>0.1306954494</v>
      </c>
      <c r="AF28" s="33">
        <f t="shared" si="7"/>
        <v>36</v>
      </c>
      <c r="AG28" s="28">
        <f t="shared" si="8"/>
        <v>5.79</v>
      </c>
      <c r="AH28" s="34">
        <f t="shared" si="9"/>
        <v>92.40516753</v>
      </c>
      <c r="AI28" s="32">
        <f t="shared" si="10"/>
        <v>0.9502990192</v>
      </c>
      <c r="AJ28" s="33">
        <f t="shared" si="11"/>
        <v>25</v>
      </c>
      <c r="AK28" s="38">
        <v>43.18</v>
      </c>
      <c r="AL28" s="32">
        <f t="shared" si="12"/>
        <v>-0.08864499789</v>
      </c>
      <c r="AM28" s="33">
        <f t="shared" si="13"/>
        <v>22</v>
      </c>
      <c r="AN28" s="33">
        <f t="shared" si="14"/>
        <v>0.0343764945</v>
      </c>
      <c r="AO28" s="33">
        <f t="shared" si="15"/>
        <v>28</v>
      </c>
      <c r="AP28" s="33">
        <f t="shared" si="16"/>
        <v>64</v>
      </c>
      <c r="AQ28" s="33">
        <f t="shared" si="17"/>
        <v>26</v>
      </c>
      <c r="AR28" s="33">
        <f t="shared" si="18"/>
        <v>-6</v>
      </c>
      <c r="AS28" s="33">
        <f t="shared" si="19"/>
        <v>28</v>
      </c>
      <c r="AT28" s="33">
        <v>26.0</v>
      </c>
      <c r="AU28" s="33"/>
    </row>
    <row r="29" ht="15.75" customHeight="1">
      <c r="A29" s="28" t="s">
        <v>62</v>
      </c>
      <c r="B29" s="28" t="s">
        <v>333</v>
      </c>
      <c r="C29" s="28" t="s">
        <v>334</v>
      </c>
      <c r="D29" s="28" t="s">
        <v>335</v>
      </c>
      <c r="E29" s="28" t="s">
        <v>120</v>
      </c>
      <c r="F29" s="28" t="s">
        <v>336</v>
      </c>
      <c r="G29" s="28">
        <v>14.22</v>
      </c>
      <c r="H29" s="28">
        <v>342.92</v>
      </c>
      <c r="I29" s="28">
        <v>0.0385</v>
      </c>
      <c r="J29" s="28" t="s">
        <v>337</v>
      </c>
      <c r="K29" s="28">
        <v>0.4</v>
      </c>
      <c r="L29" s="28">
        <v>18.53</v>
      </c>
      <c r="M29" s="28" t="s">
        <v>125</v>
      </c>
      <c r="N29" s="28">
        <v>3.0</v>
      </c>
      <c r="O29" s="28">
        <v>0.47</v>
      </c>
      <c r="P29" s="28">
        <v>21.98</v>
      </c>
      <c r="Q29" s="28" t="s">
        <v>260</v>
      </c>
      <c r="R29" s="28">
        <v>0.55</v>
      </c>
      <c r="S29" s="28" t="s">
        <v>213</v>
      </c>
      <c r="T29" s="28">
        <v>15.17</v>
      </c>
      <c r="U29" s="28">
        <v>0.55</v>
      </c>
      <c r="V29" s="28">
        <v>10.0</v>
      </c>
      <c r="W29" s="28">
        <v>24.04</v>
      </c>
      <c r="X29" s="28">
        <v>14.24</v>
      </c>
      <c r="Y29" s="28">
        <v>4.63</v>
      </c>
      <c r="Z29" s="4">
        <f t="shared" si="2"/>
        <v>3</v>
      </c>
      <c r="AA29" s="28">
        <f t="shared" si="3"/>
        <v>7.5835</v>
      </c>
      <c r="AB29" s="28">
        <f t="shared" si="4"/>
        <v>21.81738846</v>
      </c>
      <c r="AC29" s="32">
        <f t="shared" si="5"/>
        <v>0.06284613218</v>
      </c>
      <c r="AD29" s="4">
        <v>7.0</v>
      </c>
      <c r="AE29" s="32">
        <f t="shared" si="6"/>
        <v>0.3173461322</v>
      </c>
      <c r="AF29" s="33">
        <f t="shared" si="7"/>
        <v>20</v>
      </c>
      <c r="AG29" s="28">
        <f t="shared" si="8"/>
        <v>5.79</v>
      </c>
      <c r="AH29" s="34">
        <f t="shared" si="9"/>
        <v>958.3780587</v>
      </c>
      <c r="AI29" s="32">
        <f t="shared" si="10"/>
        <v>1.794756966</v>
      </c>
      <c r="AJ29" s="33">
        <f t="shared" si="11"/>
        <v>18</v>
      </c>
      <c r="AK29" s="38">
        <v>190.0</v>
      </c>
      <c r="AL29" s="32">
        <f t="shared" si="12"/>
        <v>-0.4459349119</v>
      </c>
      <c r="AM29" s="33">
        <f t="shared" si="13"/>
        <v>48</v>
      </c>
      <c r="AN29" s="33">
        <f t="shared" si="14"/>
        <v>0.03457977208</v>
      </c>
      <c r="AO29" s="33">
        <f t="shared" si="15"/>
        <v>26</v>
      </c>
      <c r="AP29" s="33">
        <f t="shared" si="16"/>
        <v>61</v>
      </c>
      <c r="AQ29" s="33">
        <f t="shared" si="17"/>
        <v>27</v>
      </c>
      <c r="AR29" s="33">
        <f t="shared" si="18"/>
        <v>6</v>
      </c>
      <c r="AS29" s="33">
        <f t="shared" si="19"/>
        <v>20</v>
      </c>
      <c r="AT29" s="33">
        <v>27.0</v>
      </c>
      <c r="AU29" s="33"/>
    </row>
    <row r="30" ht="15.75" customHeight="1">
      <c r="A30" s="25" t="s">
        <v>338</v>
      </c>
      <c r="B30" s="25" t="s">
        <v>339</v>
      </c>
      <c r="C30" s="25" t="s">
        <v>181</v>
      </c>
      <c r="D30" s="25" t="s">
        <v>340</v>
      </c>
      <c r="E30" s="25" t="s">
        <v>237</v>
      </c>
      <c r="F30" s="25" t="s">
        <v>341</v>
      </c>
      <c r="G30" s="25" t="s">
        <v>342</v>
      </c>
      <c r="H30" s="25">
        <v>347.63</v>
      </c>
      <c r="I30" s="25" t="s">
        <v>343</v>
      </c>
      <c r="J30" s="26">
        <v>3510858.0</v>
      </c>
      <c r="K30" s="25">
        <v>0.33</v>
      </c>
      <c r="L30" s="25">
        <v>18.94</v>
      </c>
      <c r="M30" s="28" t="s">
        <v>125</v>
      </c>
      <c r="N30" s="25">
        <v>0.0</v>
      </c>
      <c r="O30" s="25">
        <v>0.14</v>
      </c>
      <c r="P30" s="25">
        <v>32.79</v>
      </c>
      <c r="Q30" s="25" t="s">
        <v>8</v>
      </c>
      <c r="R30" s="39">
        <v>1.52</v>
      </c>
      <c r="U30" s="39">
        <v>1.52</v>
      </c>
      <c r="V30" s="28">
        <v>10.0</v>
      </c>
      <c r="W30" s="29">
        <v>7.16</v>
      </c>
      <c r="X30" s="29">
        <v>36.11</v>
      </c>
      <c r="Y30" s="28">
        <v>4.63</v>
      </c>
      <c r="Z30" s="4">
        <f t="shared" si="2"/>
        <v>7</v>
      </c>
      <c r="AA30" s="28">
        <f t="shared" si="3"/>
        <v>12.7924</v>
      </c>
      <c r="AB30" s="28">
        <f t="shared" si="4"/>
        <v>17.2640011</v>
      </c>
      <c r="AC30" s="32">
        <f t="shared" si="5"/>
        <v>-0.1000543523</v>
      </c>
      <c r="AD30" s="4">
        <v>7.0</v>
      </c>
      <c r="AE30" s="32">
        <f t="shared" si="6"/>
        <v>0.2292456477</v>
      </c>
      <c r="AF30" s="33">
        <f t="shared" si="7"/>
        <v>25</v>
      </c>
      <c r="AG30" s="28">
        <f t="shared" si="8"/>
        <v>5.79</v>
      </c>
      <c r="AH30" s="34">
        <f t="shared" si="9"/>
        <v>403.0770846</v>
      </c>
      <c r="AI30" s="32">
        <f t="shared" si="10"/>
        <v>0.1595002866</v>
      </c>
      <c r="AJ30" s="33">
        <f t="shared" si="11"/>
        <v>35</v>
      </c>
      <c r="AK30" s="38">
        <v>297.58</v>
      </c>
      <c r="AL30" s="32">
        <f t="shared" si="12"/>
        <v>-0.1439749159</v>
      </c>
      <c r="AM30" s="33">
        <f t="shared" si="13"/>
        <v>27</v>
      </c>
      <c r="AN30" s="33">
        <f t="shared" si="14"/>
        <v>0.03378527455</v>
      </c>
      <c r="AO30" s="33">
        <f t="shared" si="15"/>
        <v>31</v>
      </c>
      <c r="AP30" s="33">
        <f t="shared" si="16"/>
        <v>60</v>
      </c>
      <c r="AQ30" s="33">
        <f t="shared" si="17"/>
        <v>28</v>
      </c>
      <c r="AR30" s="33">
        <f t="shared" si="18"/>
        <v>-12</v>
      </c>
      <c r="AS30" s="33">
        <f t="shared" si="19"/>
        <v>29</v>
      </c>
      <c r="AT30" s="33">
        <v>28.0</v>
      </c>
      <c r="AU30" s="33"/>
    </row>
    <row r="31" ht="15.75" customHeight="1">
      <c r="A31" s="25" t="s">
        <v>344</v>
      </c>
      <c r="B31" s="25" t="s">
        <v>345</v>
      </c>
      <c r="C31" s="25" t="s">
        <v>346</v>
      </c>
      <c r="D31" s="25" t="s">
        <v>347</v>
      </c>
      <c r="E31" s="25" t="s">
        <v>120</v>
      </c>
      <c r="F31" s="25" t="s">
        <v>348</v>
      </c>
      <c r="G31" s="25" t="s">
        <v>349</v>
      </c>
      <c r="H31" s="25">
        <v>65.21</v>
      </c>
      <c r="I31" s="25" t="s">
        <v>350</v>
      </c>
      <c r="J31" s="26">
        <v>787408.0</v>
      </c>
      <c r="K31" s="25">
        <v>0.03</v>
      </c>
      <c r="L31" s="4">
        <v>0.0</v>
      </c>
      <c r="M31" s="28" t="s">
        <v>125</v>
      </c>
      <c r="N31" s="25">
        <v>0.0</v>
      </c>
      <c r="O31" s="25">
        <v>0.56</v>
      </c>
      <c r="P31" s="25">
        <v>38.3</v>
      </c>
      <c r="Q31" s="25" t="s">
        <v>248</v>
      </c>
      <c r="R31" s="39">
        <v>0.77</v>
      </c>
      <c r="U31" s="41">
        <f>IF(E31="USA",R31,"completar")</f>
        <v>0.77</v>
      </c>
      <c r="V31" s="28">
        <v>10.0</v>
      </c>
      <c r="W31" s="29">
        <v>1.81</v>
      </c>
      <c r="X31" s="29">
        <v>35.99</v>
      </c>
      <c r="Y31" s="28">
        <v>4.63</v>
      </c>
      <c r="Z31" s="4">
        <f t="shared" si="2"/>
        <v>4</v>
      </c>
      <c r="AA31" s="28">
        <f t="shared" si="3"/>
        <v>8.7649</v>
      </c>
      <c r="AB31" s="28">
        <f t="shared" si="4"/>
        <v>20.9867993</v>
      </c>
      <c r="AC31" s="32">
        <f t="shared" si="5"/>
        <v>-0.0741561073</v>
      </c>
      <c r="AD31" s="4">
        <v>7.0</v>
      </c>
      <c r="AE31" s="32">
        <f t="shared" si="6"/>
        <v>0.3144438927</v>
      </c>
      <c r="AF31" s="33">
        <f t="shared" si="7"/>
        <v>21</v>
      </c>
      <c r="AG31" s="28">
        <f t="shared" si="8"/>
        <v>5.79</v>
      </c>
      <c r="AH31" s="34">
        <f t="shared" si="9"/>
        <v>117.0529188</v>
      </c>
      <c r="AI31" s="32">
        <f t="shared" si="10"/>
        <v>0.795014857</v>
      </c>
      <c r="AJ31" s="33">
        <f t="shared" si="11"/>
        <v>26</v>
      </c>
      <c r="AK31" s="38">
        <v>49.11</v>
      </c>
      <c r="AL31" s="32">
        <f t="shared" si="12"/>
        <v>-0.2468946481</v>
      </c>
      <c r="AM31" s="33">
        <f t="shared" si="13"/>
        <v>42</v>
      </c>
      <c r="AN31" s="33">
        <f t="shared" si="14"/>
        <v>0.03377750756</v>
      </c>
      <c r="AO31" s="33">
        <f t="shared" si="15"/>
        <v>33</v>
      </c>
      <c r="AP31" s="33">
        <f t="shared" si="16"/>
        <v>58</v>
      </c>
      <c r="AQ31" s="33">
        <f t="shared" si="17"/>
        <v>29</v>
      </c>
      <c r="AR31" s="33">
        <f t="shared" si="18"/>
        <v>-2</v>
      </c>
      <c r="AS31" s="33">
        <f t="shared" si="19"/>
        <v>26</v>
      </c>
      <c r="AT31" s="37">
        <v>29.0</v>
      </c>
      <c r="AU31" s="33"/>
    </row>
    <row r="32" ht="15.75" customHeight="1">
      <c r="A32" s="25" t="s">
        <v>351</v>
      </c>
      <c r="B32" s="25" t="s">
        <v>352</v>
      </c>
      <c r="C32" s="25" t="s">
        <v>299</v>
      </c>
      <c r="D32" s="25" t="s">
        <v>353</v>
      </c>
      <c r="E32" s="25" t="s">
        <v>354</v>
      </c>
      <c r="F32" s="25" t="s">
        <v>355</v>
      </c>
      <c r="G32" s="25" t="s">
        <v>356</v>
      </c>
      <c r="H32" s="25">
        <v>856.94</v>
      </c>
      <c r="I32" s="25" t="s">
        <v>357</v>
      </c>
      <c r="J32" s="26">
        <v>171504.0</v>
      </c>
      <c r="K32" s="25">
        <v>0.01</v>
      </c>
      <c r="L32" s="25">
        <v>411.3</v>
      </c>
      <c r="M32" s="28" t="s">
        <v>125</v>
      </c>
      <c r="N32" s="25">
        <v>0.0</v>
      </c>
      <c r="O32" s="25">
        <v>0.0</v>
      </c>
      <c r="P32" s="25">
        <v>30.45</v>
      </c>
      <c r="Q32" s="25" t="s">
        <v>358</v>
      </c>
      <c r="R32" s="39">
        <v>-0.04</v>
      </c>
      <c r="U32" s="43">
        <v>-0.04</v>
      </c>
      <c r="V32" s="28">
        <v>10.0</v>
      </c>
      <c r="W32" s="29">
        <v>26.25</v>
      </c>
      <c r="X32" s="29">
        <v>32.66</v>
      </c>
      <c r="Y32" s="28">
        <v>4.63</v>
      </c>
      <c r="Z32" s="4">
        <f t="shared" si="2"/>
        <v>5</v>
      </c>
      <c r="AA32" s="28">
        <f t="shared" si="3"/>
        <v>4.4152</v>
      </c>
      <c r="AB32" s="28">
        <f t="shared" si="4"/>
        <v>-170.998632</v>
      </c>
      <c r="AC32" s="32">
        <f t="shared" si="5"/>
        <v>-2.266808364</v>
      </c>
      <c r="AD32" s="4">
        <v>7.0</v>
      </c>
      <c r="AE32" s="32">
        <f t="shared" si="6"/>
        <v>-1.962308364</v>
      </c>
      <c r="AF32" s="33">
        <f t="shared" si="7"/>
        <v>49</v>
      </c>
      <c r="AG32" s="28">
        <f t="shared" si="8"/>
        <v>5.79</v>
      </c>
      <c r="AH32" s="34">
        <f t="shared" si="9"/>
        <v>1384.404145</v>
      </c>
      <c r="AI32" s="32">
        <f t="shared" si="10"/>
        <v>0.6155205091</v>
      </c>
      <c r="AJ32" s="33">
        <f t="shared" si="11"/>
        <v>28</v>
      </c>
      <c r="AK32" s="38">
        <v>900.0</v>
      </c>
      <c r="AL32" s="32">
        <f t="shared" si="12"/>
        <v>0.05024855883</v>
      </c>
      <c r="AM32" s="33">
        <f t="shared" si="13"/>
        <v>12</v>
      </c>
      <c r="AN32" s="33">
        <f t="shared" si="14"/>
        <v>0.03442683718</v>
      </c>
      <c r="AO32" s="33">
        <f t="shared" si="15"/>
        <v>27</v>
      </c>
      <c r="AP32" s="33">
        <f t="shared" si="16"/>
        <v>58</v>
      </c>
      <c r="AQ32" s="33">
        <f t="shared" si="17"/>
        <v>29</v>
      </c>
      <c r="AR32" s="33">
        <f t="shared" si="18"/>
        <v>-12</v>
      </c>
      <c r="AS32" s="33">
        <f t="shared" si="19"/>
        <v>29</v>
      </c>
      <c r="AT32" s="37">
        <v>30.0</v>
      </c>
      <c r="AU32" s="33"/>
    </row>
    <row r="33" ht="15.75" customHeight="1">
      <c r="A33" s="25" t="s">
        <v>359</v>
      </c>
      <c r="B33" s="25" t="s">
        <v>360</v>
      </c>
      <c r="C33" s="25" t="s">
        <v>118</v>
      </c>
      <c r="D33" s="25" t="s">
        <v>361</v>
      </c>
      <c r="E33" s="25" t="s">
        <v>120</v>
      </c>
      <c r="F33" s="25" t="s">
        <v>362</v>
      </c>
      <c r="G33" s="25" t="s">
        <v>363</v>
      </c>
      <c r="H33" s="25">
        <v>20.74</v>
      </c>
      <c r="I33" s="25" t="s">
        <v>364</v>
      </c>
      <c r="J33" s="26">
        <v>795007.0</v>
      </c>
      <c r="K33" s="25">
        <v>0.24</v>
      </c>
      <c r="L33" s="25">
        <v>8.69</v>
      </c>
      <c r="M33" s="28" t="s">
        <v>125</v>
      </c>
      <c r="N33" s="25">
        <v>0.0</v>
      </c>
      <c r="O33" s="25">
        <v>2.67</v>
      </c>
      <c r="P33" s="25">
        <v>7.63</v>
      </c>
      <c r="Q33" s="25" t="s">
        <v>304</v>
      </c>
      <c r="R33" s="29">
        <v>0.66</v>
      </c>
      <c r="U33" s="28">
        <f t="shared" ref="U33:U36" si="22">IF(E33="USA",R33,"completar")</f>
        <v>0.66</v>
      </c>
      <c r="V33" s="28">
        <v>10.0</v>
      </c>
      <c r="W33" s="29">
        <v>1.1</v>
      </c>
      <c r="X33" s="29">
        <v>14.63</v>
      </c>
      <c r="Y33" s="28">
        <v>4.63</v>
      </c>
      <c r="Z33" s="4">
        <f t="shared" si="2"/>
        <v>5</v>
      </c>
      <c r="AA33" s="28">
        <f t="shared" si="3"/>
        <v>8.1742</v>
      </c>
      <c r="AB33" s="28">
        <f t="shared" si="4"/>
        <v>31.50400101</v>
      </c>
      <c r="AC33" s="32">
        <f t="shared" si="5"/>
        <v>0.1158061981</v>
      </c>
      <c r="AD33" s="4">
        <v>7.0</v>
      </c>
      <c r="AE33" s="32">
        <f t="shared" si="6"/>
        <v>0.2188061981</v>
      </c>
      <c r="AF33" s="33">
        <f t="shared" si="7"/>
        <v>29</v>
      </c>
      <c r="AG33" s="28">
        <f t="shared" si="8"/>
        <v>5.79</v>
      </c>
      <c r="AH33" s="34">
        <f t="shared" si="9"/>
        <v>19.8615544</v>
      </c>
      <c r="AI33" s="32">
        <f t="shared" si="10"/>
        <v>-0.04235513963</v>
      </c>
      <c r="AJ33" s="33">
        <f t="shared" si="11"/>
        <v>41</v>
      </c>
      <c r="AK33" s="35">
        <v>19.18</v>
      </c>
      <c r="AL33" s="32">
        <f t="shared" si="12"/>
        <v>-0.07521697203</v>
      </c>
      <c r="AM33" s="33">
        <f t="shared" si="13"/>
        <v>19</v>
      </c>
      <c r="AN33" s="33">
        <f t="shared" si="14"/>
        <v>0.033795173</v>
      </c>
      <c r="AO33" s="33">
        <f t="shared" si="15"/>
        <v>30</v>
      </c>
      <c r="AP33" s="33">
        <f t="shared" si="16"/>
        <v>58</v>
      </c>
      <c r="AQ33" s="33">
        <f t="shared" si="17"/>
        <v>29</v>
      </c>
      <c r="AR33" s="33">
        <f t="shared" si="18"/>
        <v>-18</v>
      </c>
      <c r="AS33" s="33">
        <f t="shared" si="19"/>
        <v>34</v>
      </c>
      <c r="AT33" s="37">
        <v>31.0</v>
      </c>
      <c r="AU33" s="33"/>
    </row>
    <row r="34" ht="15.75" customHeight="1">
      <c r="A34" s="25" t="s">
        <v>365</v>
      </c>
      <c r="B34" s="25" t="s">
        <v>366</v>
      </c>
      <c r="C34" s="25" t="s">
        <v>181</v>
      </c>
      <c r="D34" s="25" t="s">
        <v>367</v>
      </c>
      <c r="E34" s="25" t="s">
        <v>120</v>
      </c>
      <c r="F34" s="25" t="s">
        <v>368</v>
      </c>
      <c r="G34" s="25" t="s">
        <v>369</v>
      </c>
      <c r="H34" s="25">
        <v>534.54</v>
      </c>
      <c r="I34" s="25" t="s">
        <v>370</v>
      </c>
      <c r="J34" s="26">
        <v>1.2901667E7</v>
      </c>
      <c r="K34" s="25">
        <v>0.35</v>
      </c>
      <c r="L34" s="25">
        <v>30.18</v>
      </c>
      <c r="M34" s="28" t="s">
        <v>125</v>
      </c>
      <c r="N34" s="25">
        <v>0.3</v>
      </c>
      <c r="O34" s="25">
        <v>0.43</v>
      </c>
      <c r="P34" s="25">
        <v>28.32</v>
      </c>
      <c r="Q34" s="25" t="s">
        <v>311</v>
      </c>
      <c r="R34" s="39">
        <v>1.62</v>
      </c>
      <c r="U34" s="41">
        <f t="shared" si="22"/>
        <v>1.62</v>
      </c>
      <c r="V34" s="28">
        <v>10.0</v>
      </c>
      <c r="W34" s="29">
        <v>10.63</v>
      </c>
      <c r="X34" s="29">
        <v>50.22</v>
      </c>
      <c r="Y34" s="28">
        <v>4.63</v>
      </c>
      <c r="Z34" s="4">
        <f t="shared" si="2"/>
        <v>7</v>
      </c>
      <c r="AA34" s="28">
        <f t="shared" si="3"/>
        <v>13.3294</v>
      </c>
      <c r="AB34" s="28">
        <f t="shared" si="4"/>
        <v>15.79928587</v>
      </c>
      <c r="AC34" s="32">
        <f t="shared" si="5"/>
        <v>-0.1522817448</v>
      </c>
      <c r="AD34" s="4">
        <v>7.0</v>
      </c>
      <c r="AE34" s="32">
        <f t="shared" si="6"/>
        <v>0.1382182552</v>
      </c>
      <c r="AF34" s="33">
        <f t="shared" si="7"/>
        <v>35</v>
      </c>
      <c r="AG34" s="28">
        <f t="shared" si="8"/>
        <v>5.79</v>
      </c>
      <c r="AH34" s="34">
        <f t="shared" si="9"/>
        <v>526.2051952</v>
      </c>
      <c r="AI34" s="32">
        <f t="shared" si="10"/>
        <v>-0.01559248108</v>
      </c>
      <c r="AJ34" s="33">
        <f t="shared" si="11"/>
        <v>39</v>
      </c>
      <c r="AK34" s="38">
        <v>520.0</v>
      </c>
      <c r="AL34" s="32">
        <f t="shared" si="12"/>
        <v>-0.02720095783</v>
      </c>
      <c r="AM34" s="33">
        <f t="shared" si="13"/>
        <v>16</v>
      </c>
      <c r="AN34" s="33">
        <f t="shared" si="14"/>
        <v>0.03378522063</v>
      </c>
      <c r="AO34" s="33">
        <f t="shared" si="15"/>
        <v>32</v>
      </c>
      <c r="AP34" s="33">
        <f t="shared" si="16"/>
        <v>57</v>
      </c>
      <c r="AQ34" s="33">
        <f t="shared" si="17"/>
        <v>32</v>
      </c>
      <c r="AR34" s="33">
        <f t="shared" si="18"/>
        <v>-20</v>
      </c>
      <c r="AS34" s="33">
        <f t="shared" si="19"/>
        <v>35</v>
      </c>
      <c r="AT34" s="33">
        <v>32.0</v>
      </c>
      <c r="AU34" s="33"/>
    </row>
    <row r="35" ht="15.75" customHeight="1">
      <c r="A35" s="25" t="s">
        <v>371</v>
      </c>
      <c r="B35" s="25" t="s">
        <v>372</v>
      </c>
      <c r="C35" s="25" t="s">
        <v>236</v>
      </c>
      <c r="D35" s="25" t="s">
        <v>373</v>
      </c>
      <c r="E35" s="25" t="s">
        <v>120</v>
      </c>
      <c r="F35" s="25" t="s">
        <v>374</v>
      </c>
      <c r="G35" s="25" t="s">
        <v>375</v>
      </c>
      <c r="H35" s="25">
        <v>46.39</v>
      </c>
      <c r="I35" s="25" t="s">
        <v>376</v>
      </c>
      <c r="J35" s="26">
        <v>2209865.0</v>
      </c>
      <c r="K35" s="25">
        <v>0.31</v>
      </c>
      <c r="L35" s="25">
        <v>13.47</v>
      </c>
      <c r="M35" s="28" t="s">
        <v>125</v>
      </c>
      <c r="N35" s="25">
        <v>0.0</v>
      </c>
      <c r="O35" s="25">
        <v>0.1</v>
      </c>
      <c r="P35" s="25">
        <v>9.66</v>
      </c>
      <c r="Q35" s="25" t="s">
        <v>248</v>
      </c>
      <c r="R35" s="39">
        <v>2.0</v>
      </c>
      <c r="U35" s="41">
        <f t="shared" si="22"/>
        <v>2</v>
      </c>
      <c r="V35" s="28">
        <v>10.0</v>
      </c>
      <c r="W35" s="29">
        <v>5.79</v>
      </c>
      <c r="X35" s="29">
        <v>8.03</v>
      </c>
      <c r="Y35" s="28">
        <v>4.63</v>
      </c>
      <c r="Z35" s="4">
        <f t="shared" si="2"/>
        <v>4</v>
      </c>
      <c r="AA35" s="28">
        <f t="shared" si="3"/>
        <v>15.37</v>
      </c>
      <c r="AB35" s="28">
        <f t="shared" si="4"/>
        <v>8.795074758</v>
      </c>
      <c r="AC35" s="32">
        <f t="shared" si="5"/>
        <v>0.01308593114</v>
      </c>
      <c r="AD35" s="4">
        <v>7.0</v>
      </c>
      <c r="AE35" s="32">
        <f t="shared" si="6"/>
        <v>0.1106859311</v>
      </c>
      <c r="AF35" s="33">
        <f t="shared" si="7"/>
        <v>39</v>
      </c>
      <c r="AG35" s="28">
        <f t="shared" si="8"/>
        <v>5.79</v>
      </c>
      <c r="AH35" s="34">
        <f t="shared" si="9"/>
        <v>122.408</v>
      </c>
      <c r="AI35" s="32">
        <f t="shared" si="10"/>
        <v>1.638672128</v>
      </c>
      <c r="AJ35" s="33">
        <f t="shared" si="11"/>
        <v>21</v>
      </c>
      <c r="AK35" s="38">
        <v>39.3</v>
      </c>
      <c r="AL35" s="32">
        <f t="shared" si="12"/>
        <v>-0.1528346626</v>
      </c>
      <c r="AM35" s="33">
        <f t="shared" si="13"/>
        <v>30</v>
      </c>
      <c r="AN35" s="33">
        <f t="shared" si="14"/>
        <v>0.03355780022</v>
      </c>
      <c r="AO35" s="33">
        <f t="shared" si="15"/>
        <v>34</v>
      </c>
      <c r="AP35" s="33">
        <f t="shared" si="16"/>
        <v>57</v>
      </c>
      <c r="AQ35" s="33">
        <f t="shared" si="17"/>
        <v>32</v>
      </c>
      <c r="AR35" s="33">
        <f t="shared" si="18"/>
        <v>-12</v>
      </c>
      <c r="AS35" s="33">
        <f t="shared" si="19"/>
        <v>29</v>
      </c>
      <c r="AT35" s="37">
        <v>33.0</v>
      </c>
      <c r="AU35" s="33"/>
    </row>
    <row r="36" ht="15.75" customHeight="1">
      <c r="A36" s="25" t="s">
        <v>377</v>
      </c>
      <c r="B36" s="25" t="s">
        <v>378</v>
      </c>
      <c r="C36" s="25" t="s">
        <v>299</v>
      </c>
      <c r="D36" s="25" t="s">
        <v>379</v>
      </c>
      <c r="E36" s="25" t="s">
        <v>120</v>
      </c>
      <c r="F36" s="25" t="s">
        <v>380</v>
      </c>
      <c r="G36" s="25" t="s">
        <v>342</v>
      </c>
      <c r="H36" s="25">
        <v>91.48</v>
      </c>
      <c r="I36" s="25" t="s">
        <v>381</v>
      </c>
      <c r="J36" s="26">
        <v>4686453.0</v>
      </c>
      <c r="K36" s="25">
        <v>0.53</v>
      </c>
      <c r="L36" s="25">
        <v>80.16</v>
      </c>
      <c r="M36" s="28" t="s">
        <v>125</v>
      </c>
      <c r="N36" s="25">
        <v>0.0</v>
      </c>
      <c r="O36" s="25">
        <v>3.18</v>
      </c>
      <c r="P36" s="25">
        <v>27.49</v>
      </c>
      <c r="Q36" s="25" t="s">
        <v>241</v>
      </c>
      <c r="R36" s="39">
        <v>1.41</v>
      </c>
      <c r="U36" s="41">
        <f t="shared" si="22"/>
        <v>1.41</v>
      </c>
      <c r="V36" s="28">
        <v>10.0</v>
      </c>
      <c r="W36" s="29">
        <v>2.53</v>
      </c>
      <c r="X36" s="29">
        <v>36.11</v>
      </c>
      <c r="Y36" s="28">
        <v>4.63</v>
      </c>
      <c r="Z36" s="4">
        <f t="shared" si="2"/>
        <v>5</v>
      </c>
      <c r="AA36" s="28">
        <f t="shared" si="3"/>
        <v>12.2017</v>
      </c>
      <c r="AB36" s="28">
        <f t="shared" si="4"/>
        <v>13.88561034</v>
      </c>
      <c r="AC36" s="32">
        <f t="shared" si="5"/>
        <v>-0.1276206938</v>
      </c>
      <c r="AD36" s="4">
        <v>7.0</v>
      </c>
      <c r="AE36" s="32">
        <f t="shared" si="6"/>
        <v>0.1790793062</v>
      </c>
      <c r="AF36" s="33">
        <f t="shared" si="7"/>
        <v>31</v>
      </c>
      <c r="AG36" s="28">
        <f t="shared" si="8"/>
        <v>5.79</v>
      </c>
      <c r="AH36" s="34">
        <f t="shared" si="9"/>
        <v>122.0482487</v>
      </c>
      <c r="AI36" s="32">
        <f t="shared" si="10"/>
        <v>0.3341522596</v>
      </c>
      <c r="AJ36" s="33">
        <f t="shared" si="11"/>
        <v>34</v>
      </c>
      <c r="AK36" s="35">
        <v>79.0</v>
      </c>
      <c r="AL36" s="32">
        <f t="shared" si="12"/>
        <v>-0.1364232619</v>
      </c>
      <c r="AM36" s="33">
        <f t="shared" si="13"/>
        <v>25</v>
      </c>
      <c r="AN36" s="33">
        <f t="shared" si="14"/>
        <v>0.03339201474</v>
      </c>
      <c r="AO36" s="33">
        <f t="shared" si="15"/>
        <v>36</v>
      </c>
      <c r="AP36" s="33">
        <f t="shared" si="16"/>
        <v>57</v>
      </c>
      <c r="AQ36" s="33">
        <f t="shared" si="17"/>
        <v>32</v>
      </c>
      <c r="AR36" s="33">
        <f t="shared" si="18"/>
        <v>-16</v>
      </c>
      <c r="AS36" s="33">
        <f t="shared" si="19"/>
        <v>32</v>
      </c>
      <c r="AT36" s="37">
        <v>34.0</v>
      </c>
      <c r="AU36" s="33"/>
    </row>
    <row r="37" ht="15.75" customHeight="1">
      <c r="A37" s="28" t="s">
        <v>382</v>
      </c>
      <c r="B37" s="28" t="s">
        <v>383</v>
      </c>
      <c r="C37" s="28" t="s">
        <v>181</v>
      </c>
      <c r="D37" s="28" t="s">
        <v>203</v>
      </c>
      <c r="E37" s="28" t="s">
        <v>384</v>
      </c>
      <c r="F37" s="28" t="s">
        <v>385</v>
      </c>
      <c r="G37" s="28">
        <v>29.21</v>
      </c>
      <c r="H37" s="28">
        <v>249.12</v>
      </c>
      <c r="I37" s="28">
        <v>0.0324</v>
      </c>
      <c r="J37" s="28" t="s">
        <v>386</v>
      </c>
      <c r="K37" s="28">
        <v>0.06</v>
      </c>
      <c r="L37" s="28">
        <v>0.0</v>
      </c>
      <c r="M37" s="28" t="s">
        <v>125</v>
      </c>
      <c r="N37" s="28">
        <v>1.7</v>
      </c>
      <c r="O37" s="28">
        <v>0.0</v>
      </c>
      <c r="P37" s="28">
        <v>17.16</v>
      </c>
      <c r="Q37" s="28" t="s">
        <v>260</v>
      </c>
      <c r="R37" s="28" t="s">
        <v>261</v>
      </c>
      <c r="S37" s="28" t="s">
        <v>387</v>
      </c>
      <c r="T37" s="28">
        <v>4.57</v>
      </c>
      <c r="U37" s="28">
        <v>1.71</v>
      </c>
      <c r="V37" s="28">
        <v>10.0</v>
      </c>
      <c r="W37" s="28">
        <v>8.54</v>
      </c>
      <c r="X37" s="28">
        <v>31.45</v>
      </c>
      <c r="Y37" s="28">
        <v>4.63</v>
      </c>
      <c r="Z37" s="4">
        <f t="shared" si="2"/>
        <v>7</v>
      </c>
      <c r="AA37" s="28">
        <f t="shared" si="3"/>
        <v>13.8127</v>
      </c>
      <c r="AB37" s="28">
        <f t="shared" si="4"/>
        <v>14.67846816</v>
      </c>
      <c r="AC37" s="32">
        <f t="shared" si="5"/>
        <v>-0.1031436874</v>
      </c>
      <c r="AD37" s="4">
        <v>7.0</v>
      </c>
      <c r="AE37" s="32">
        <f t="shared" si="6"/>
        <v>0.08545631262</v>
      </c>
      <c r="AF37" s="33">
        <f t="shared" si="7"/>
        <v>42</v>
      </c>
      <c r="AG37" s="28">
        <f t="shared" si="8"/>
        <v>5.79</v>
      </c>
      <c r="AH37" s="34">
        <f t="shared" si="9"/>
        <v>277.8936649</v>
      </c>
      <c r="AI37" s="32">
        <f t="shared" si="10"/>
        <v>0.1155012241</v>
      </c>
      <c r="AJ37" s="33">
        <f t="shared" si="11"/>
        <v>36</v>
      </c>
      <c r="AK37" s="38">
        <v>248.27</v>
      </c>
      <c r="AL37" s="32">
        <f t="shared" si="12"/>
        <v>-0.003412010276</v>
      </c>
      <c r="AM37" s="33">
        <f t="shared" si="13"/>
        <v>15</v>
      </c>
      <c r="AN37" s="33">
        <f t="shared" si="14"/>
        <v>0.03355392157</v>
      </c>
      <c r="AO37" s="33">
        <f t="shared" si="15"/>
        <v>35</v>
      </c>
      <c r="AP37" s="33">
        <f t="shared" si="16"/>
        <v>54</v>
      </c>
      <c r="AQ37" s="33">
        <f t="shared" si="17"/>
        <v>35</v>
      </c>
      <c r="AR37" s="33">
        <f t="shared" si="18"/>
        <v>-24</v>
      </c>
      <c r="AS37" s="33">
        <f t="shared" si="19"/>
        <v>37</v>
      </c>
      <c r="AT37" s="37">
        <v>35.0</v>
      </c>
      <c r="AU37" s="33"/>
    </row>
    <row r="38" ht="15.75" customHeight="1">
      <c r="A38" s="25" t="s">
        <v>388</v>
      </c>
      <c r="B38" s="25" t="s">
        <v>389</v>
      </c>
      <c r="C38" s="25" t="s">
        <v>181</v>
      </c>
      <c r="D38" s="25" t="s">
        <v>367</v>
      </c>
      <c r="E38" s="25" t="s">
        <v>354</v>
      </c>
      <c r="F38" s="25" t="s">
        <v>390</v>
      </c>
      <c r="G38" s="25" t="s">
        <v>391</v>
      </c>
      <c r="H38" s="25">
        <v>1847.9</v>
      </c>
      <c r="I38" s="25" t="s">
        <v>392</v>
      </c>
      <c r="J38" s="26">
        <v>1236762.0</v>
      </c>
      <c r="K38" s="25">
        <v>0.09</v>
      </c>
      <c r="L38" s="25">
        <v>95.53</v>
      </c>
      <c r="M38" s="28" t="s">
        <v>125</v>
      </c>
      <c r="N38" s="25">
        <v>0.49</v>
      </c>
      <c r="O38" s="25">
        <v>0.63</v>
      </c>
      <c r="P38" s="25">
        <v>24.76</v>
      </c>
      <c r="Q38" s="25" t="s">
        <v>393</v>
      </c>
      <c r="R38" s="39">
        <v>1.37</v>
      </c>
      <c r="U38" s="43">
        <v>1.37</v>
      </c>
      <c r="V38" s="28">
        <v>10.0</v>
      </c>
      <c r="W38" s="29">
        <v>25.41</v>
      </c>
      <c r="X38" s="29">
        <v>57.53</v>
      </c>
      <c r="Y38" s="28">
        <v>4.63</v>
      </c>
      <c r="Z38" s="4">
        <f t="shared" si="2"/>
        <v>7</v>
      </c>
      <c r="AA38" s="28">
        <f t="shared" si="3"/>
        <v>11.9869</v>
      </c>
      <c r="AB38" s="28">
        <f t="shared" si="4"/>
        <v>20.05253765</v>
      </c>
      <c r="AC38" s="32">
        <f t="shared" si="5"/>
        <v>-0.1397776749</v>
      </c>
      <c r="AD38" s="4">
        <v>7.0</v>
      </c>
      <c r="AE38" s="32">
        <f t="shared" si="6"/>
        <v>0.1190223251</v>
      </c>
      <c r="AF38" s="33">
        <f t="shared" si="7"/>
        <v>38</v>
      </c>
      <c r="AG38" s="28">
        <f t="shared" si="8"/>
        <v>5.79</v>
      </c>
      <c r="AH38" s="34">
        <f t="shared" si="9"/>
        <v>1120.357181</v>
      </c>
      <c r="AI38" s="32">
        <f t="shared" si="10"/>
        <v>-0.3937133063</v>
      </c>
      <c r="AJ38" s="33">
        <f t="shared" si="11"/>
        <v>46</v>
      </c>
      <c r="AK38" s="38">
        <v>2050.0</v>
      </c>
      <c r="AL38" s="32">
        <f t="shared" si="12"/>
        <v>0.10936739</v>
      </c>
      <c r="AM38" s="33">
        <f t="shared" si="13"/>
        <v>9</v>
      </c>
      <c r="AN38" s="33">
        <f t="shared" si="14"/>
        <v>0.03413079752</v>
      </c>
      <c r="AO38" s="33">
        <f t="shared" si="15"/>
        <v>29</v>
      </c>
      <c r="AP38" s="33">
        <f t="shared" si="16"/>
        <v>54</v>
      </c>
      <c r="AQ38" s="33">
        <f t="shared" si="17"/>
        <v>35</v>
      </c>
      <c r="AR38" s="33">
        <f t="shared" si="18"/>
        <v>-26</v>
      </c>
      <c r="AS38" s="33">
        <f t="shared" si="19"/>
        <v>40</v>
      </c>
      <c r="AT38" s="37">
        <v>36.0</v>
      </c>
      <c r="AU38" s="33"/>
    </row>
    <row r="39" ht="15.75" customHeight="1">
      <c r="A39" s="25" t="s">
        <v>394</v>
      </c>
      <c r="B39" s="25" t="s">
        <v>395</v>
      </c>
      <c r="C39" s="25" t="s">
        <v>181</v>
      </c>
      <c r="D39" s="25" t="s">
        <v>216</v>
      </c>
      <c r="E39" s="25" t="s">
        <v>120</v>
      </c>
      <c r="F39" s="25" t="s">
        <v>396</v>
      </c>
      <c r="G39" s="25" t="s">
        <v>397</v>
      </c>
      <c r="H39" s="25">
        <v>333.77</v>
      </c>
      <c r="I39" s="25" t="s">
        <v>398</v>
      </c>
      <c r="J39" s="26">
        <v>525264.0</v>
      </c>
      <c r="K39" s="25">
        <v>1.29</v>
      </c>
      <c r="L39" s="25">
        <v>29.21</v>
      </c>
      <c r="M39" s="28" t="s">
        <v>125</v>
      </c>
      <c r="N39" s="25">
        <v>0.0</v>
      </c>
      <c r="O39" s="25">
        <v>5.59</v>
      </c>
      <c r="P39" s="25">
        <v>16.11</v>
      </c>
      <c r="Q39" s="25" t="s">
        <v>261</v>
      </c>
      <c r="R39" s="39">
        <v>3.86</v>
      </c>
      <c r="U39" s="41">
        <f t="shared" ref="U39:U42" si="23">IF(E39="USA",R39,"completar")</f>
        <v>3.86</v>
      </c>
      <c r="V39" s="28">
        <v>10.0</v>
      </c>
      <c r="W39" s="29">
        <v>15.51</v>
      </c>
      <c r="X39" s="29">
        <v>21.64</v>
      </c>
      <c r="Y39" s="28">
        <v>4.63</v>
      </c>
      <c r="Z39" s="4">
        <f t="shared" si="2"/>
        <v>7</v>
      </c>
      <c r="AA39" s="28">
        <f t="shared" si="3"/>
        <v>25.3582</v>
      </c>
      <c r="AB39" s="28">
        <f t="shared" si="4"/>
        <v>5.447157129</v>
      </c>
      <c r="AC39" s="32">
        <f t="shared" si="5"/>
        <v>-0.17886211</v>
      </c>
      <c r="AD39" s="4">
        <v>7.0</v>
      </c>
      <c r="AE39" s="32">
        <f t="shared" si="6"/>
        <v>0.03813789003</v>
      </c>
      <c r="AF39" s="33">
        <f t="shared" si="7"/>
        <v>45</v>
      </c>
      <c r="AG39" s="28">
        <f t="shared" si="8"/>
        <v>5.79</v>
      </c>
      <c r="AH39" s="34">
        <f t="shared" si="9"/>
        <v>479.9474404</v>
      </c>
      <c r="AI39" s="32">
        <f t="shared" si="10"/>
        <v>0.4379585955</v>
      </c>
      <c r="AJ39" s="33">
        <f t="shared" si="11"/>
        <v>32</v>
      </c>
      <c r="AK39" s="35">
        <v>322.62</v>
      </c>
      <c r="AL39" s="32">
        <f t="shared" si="12"/>
        <v>-0.03340623783</v>
      </c>
      <c r="AM39" s="33">
        <f t="shared" si="13"/>
        <v>17</v>
      </c>
      <c r="AN39" s="33">
        <f t="shared" si="14"/>
        <v>0.03338038773</v>
      </c>
      <c r="AO39" s="33">
        <f t="shared" si="15"/>
        <v>37</v>
      </c>
      <c r="AP39" s="33">
        <f t="shared" si="16"/>
        <v>53</v>
      </c>
      <c r="AQ39" s="33">
        <f t="shared" si="17"/>
        <v>37</v>
      </c>
      <c r="AR39" s="33">
        <f t="shared" si="18"/>
        <v>-24</v>
      </c>
      <c r="AS39" s="33">
        <f t="shared" si="19"/>
        <v>37</v>
      </c>
      <c r="AT39" s="33">
        <v>37.0</v>
      </c>
      <c r="AU39" s="33"/>
    </row>
    <row r="40" ht="15.75" customHeight="1">
      <c r="A40" s="25" t="s">
        <v>399</v>
      </c>
      <c r="B40" s="25" t="s">
        <v>400</v>
      </c>
      <c r="C40" s="25" t="s">
        <v>265</v>
      </c>
      <c r="D40" s="25" t="s">
        <v>324</v>
      </c>
      <c r="E40" s="25" t="s">
        <v>120</v>
      </c>
      <c r="F40" s="25" t="s">
        <v>401</v>
      </c>
      <c r="G40" s="25">
        <v>42.51</v>
      </c>
      <c r="H40" s="25">
        <v>1727.64</v>
      </c>
      <c r="I40" s="25">
        <v>-64.0</v>
      </c>
      <c r="J40" s="25">
        <v>310.879</v>
      </c>
      <c r="K40" s="25">
        <v>0.1</v>
      </c>
      <c r="L40" s="25">
        <v>245.61</v>
      </c>
      <c r="M40" s="28" t="s">
        <v>125</v>
      </c>
      <c r="N40" s="25">
        <v>0.17</v>
      </c>
      <c r="O40" s="25">
        <v>0.18</v>
      </c>
      <c r="P40" s="25">
        <v>38.86</v>
      </c>
      <c r="Q40" s="25" t="s">
        <v>8</v>
      </c>
      <c r="R40" s="29">
        <v>1.69</v>
      </c>
      <c r="U40" s="28">
        <f t="shared" si="23"/>
        <v>1.69</v>
      </c>
      <c r="V40" s="28">
        <v>10.0</v>
      </c>
      <c r="W40" s="29">
        <v>40.65</v>
      </c>
      <c r="X40" s="29">
        <v>42.51</v>
      </c>
      <c r="Y40" s="28">
        <v>4.63</v>
      </c>
      <c r="Z40" s="4">
        <f t="shared" si="2"/>
        <v>4</v>
      </c>
      <c r="AA40" s="28">
        <f t="shared" si="3"/>
        <v>13.7053</v>
      </c>
      <c r="AB40" s="28">
        <f t="shared" si="4"/>
        <v>10.30364852</v>
      </c>
      <c r="AC40" s="32">
        <f t="shared" si="5"/>
        <v>-0.1832833326</v>
      </c>
      <c r="AD40" s="4">
        <v>7.0</v>
      </c>
      <c r="AE40" s="32">
        <f t="shared" si="6"/>
        <v>0.2088166674</v>
      </c>
      <c r="AF40" s="33">
        <f t="shared" si="7"/>
        <v>30</v>
      </c>
      <c r="AG40" s="28">
        <f t="shared" si="8"/>
        <v>5.79</v>
      </c>
      <c r="AH40" s="34">
        <f t="shared" si="9"/>
        <v>2663.438549</v>
      </c>
      <c r="AI40" s="32">
        <f t="shared" si="10"/>
        <v>0.5416629328</v>
      </c>
      <c r="AJ40" s="33">
        <f t="shared" si="11"/>
        <v>29</v>
      </c>
      <c r="AK40" s="35">
        <v>1341.58</v>
      </c>
      <c r="AL40" s="32">
        <f t="shared" si="12"/>
        <v>-0.2234609062</v>
      </c>
      <c r="AM40" s="33">
        <f t="shared" si="13"/>
        <v>39</v>
      </c>
      <c r="AN40" s="33">
        <f t="shared" si="14"/>
        <v>0.03244807627</v>
      </c>
      <c r="AO40" s="33">
        <f t="shared" si="15"/>
        <v>38</v>
      </c>
      <c r="AP40" s="33">
        <f t="shared" si="16"/>
        <v>49</v>
      </c>
      <c r="AQ40" s="33">
        <f t="shared" si="17"/>
        <v>38</v>
      </c>
      <c r="AR40" s="33">
        <f t="shared" si="18"/>
        <v>-16</v>
      </c>
      <c r="AS40" s="33">
        <f t="shared" si="19"/>
        <v>32</v>
      </c>
      <c r="AT40" s="33">
        <v>38.0</v>
      </c>
      <c r="AU40" s="33"/>
    </row>
    <row r="41" ht="15.75" customHeight="1">
      <c r="A41" s="25" t="s">
        <v>402</v>
      </c>
      <c r="B41" s="25" t="s">
        <v>403</v>
      </c>
      <c r="C41" s="25" t="s">
        <v>265</v>
      </c>
      <c r="D41" s="25" t="s">
        <v>324</v>
      </c>
      <c r="E41" s="25" t="s">
        <v>120</v>
      </c>
      <c r="F41" s="25" t="s">
        <v>404</v>
      </c>
      <c r="G41" s="25">
        <v>31.05</v>
      </c>
      <c r="H41" s="25">
        <v>327.28</v>
      </c>
      <c r="I41" s="25">
        <v>-162.0</v>
      </c>
      <c r="J41" s="25">
        <v>290.435</v>
      </c>
      <c r="K41" s="25">
        <v>0.09</v>
      </c>
      <c r="L41" s="25">
        <v>60.56</v>
      </c>
      <c r="M41" s="28" t="s">
        <v>125</v>
      </c>
      <c r="N41" s="25">
        <v>0.0</v>
      </c>
      <c r="O41" s="25">
        <v>0.0</v>
      </c>
      <c r="P41" s="25">
        <v>26.17</v>
      </c>
      <c r="Q41" s="25" t="s">
        <v>8</v>
      </c>
      <c r="R41" s="29">
        <v>1.36</v>
      </c>
      <c r="U41" s="28">
        <f t="shared" si="23"/>
        <v>1.36</v>
      </c>
      <c r="V41" s="28">
        <v>10.0</v>
      </c>
      <c r="W41" s="29">
        <v>10.53</v>
      </c>
      <c r="X41" s="29">
        <v>31.05</v>
      </c>
      <c r="Y41" s="28">
        <v>4.63</v>
      </c>
      <c r="Z41" s="4">
        <f t="shared" si="2"/>
        <v>4</v>
      </c>
      <c r="AA41" s="28">
        <f t="shared" si="3"/>
        <v>11.9332</v>
      </c>
      <c r="AB41" s="28">
        <f t="shared" si="4"/>
        <v>12.60525387</v>
      </c>
      <c r="AC41" s="32">
        <f t="shared" si="5"/>
        <v>-0.1208357923</v>
      </c>
      <c r="AD41" s="4">
        <v>7.0</v>
      </c>
      <c r="AE41" s="32">
        <f t="shared" si="6"/>
        <v>0.1408642077</v>
      </c>
      <c r="AF41" s="33">
        <f t="shared" si="7"/>
        <v>34</v>
      </c>
      <c r="AG41" s="28">
        <f t="shared" si="8"/>
        <v>5.79</v>
      </c>
      <c r="AH41" s="34">
        <f t="shared" si="9"/>
        <v>486.8460933</v>
      </c>
      <c r="AI41" s="32">
        <f t="shared" si="10"/>
        <v>0.4875522283</v>
      </c>
      <c r="AJ41" s="33">
        <f t="shared" si="11"/>
        <v>30</v>
      </c>
      <c r="AK41" s="35">
        <v>270.51</v>
      </c>
      <c r="AL41" s="32">
        <f t="shared" si="12"/>
        <v>-0.1734600342</v>
      </c>
      <c r="AM41" s="33">
        <f t="shared" si="13"/>
        <v>35</v>
      </c>
      <c r="AN41" s="33">
        <f t="shared" si="14"/>
        <v>0.03227572477</v>
      </c>
      <c r="AO41" s="33">
        <f t="shared" si="15"/>
        <v>39</v>
      </c>
      <c r="AP41" s="33">
        <f t="shared" si="16"/>
        <v>48</v>
      </c>
      <c r="AQ41" s="33">
        <f t="shared" si="17"/>
        <v>39</v>
      </c>
      <c r="AR41" s="33">
        <f t="shared" si="18"/>
        <v>-24</v>
      </c>
      <c r="AS41" s="33">
        <f t="shared" si="19"/>
        <v>37</v>
      </c>
      <c r="AT41" s="33">
        <v>39.0</v>
      </c>
      <c r="AU41" s="33"/>
    </row>
    <row r="42" ht="15.75" customHeight="1">
      <c r="A42" s="25" t="s">
        <v>405</v>
      </c>
      <c r="B42" s="25" t="s">
        <v>406</v>
      </c>
      <c r="C42" s="25" t="s">
        <v>181</v>
      </c>
      <c r="D42" s="25" t="s">
        <v>367</v>
      </c>
      <c r="E42" s="25" t="s">
        <v>120</v>
      </c>
      <c r="F42" s="25" t="s">
        <v>407</v>
      </c>
      <c r="G42" s="25">
        <v>58.47</v>
      </c>
      <c r="H42" s="25">
        <v>337.01</v>
      </c>
      <c r="I42" s="25">
        <v>334.0</v>
      </c>
      <c r="J42" s="25" t="s">
        <v>408</v>
      </c>
      <c r="K42" s="25">
        <v>0.3</v>
      </c>
      <c r="L42" s="25">
        <v>52.42</v>
      </c>
      <c r="M42" s="28" t="s">
        <v>125</v>
      </c>
      <c r="N42" s="25">
        <v>0.31</v>
      </c>
      <c r="O42" s="25">
        <v>0.92</v>
      </c>
      <c r="P42" s="25">
        <v>27.14</v>
      </c>
      <c r="Q42" s="25" t="s">
        <v>8</v>
      </c>
      <c r="R42" s="29">
        <v>1.83</v>
      </c>
      <c r="U42" s="28">
        <f t="shared" si="23"/>
        <v>1.83</v>
      </c>
      <c r="V42" s="28">
        <v>10.0</v>
      </c>
      <c r="W42" s="29">
        <v>5.76</v>
      </c>
      <c r="X42" s="29">
        <v>58.47</v>
      </c>
      <c r="Y42" s="28">
        <v>4.63</v>
      </c>
      <c r="Z42" s="4">
        <f t="shared" si="2"/>
        <v>7</v>
      </c>
      <c r="AA42" s="28">
        <f t="shared" si="3"/>
        <v>14.4571</v>
      </c>
      <c r="AB42" s="28">
        <f t="shared" si="4"/>
        <v>13.41003876</v>
      </c>
      <c r="AC42" s="32">
        <f t="shared" si="5"/>
        <v>-0.1897063792</v>
      </c>
      <c r="AD42" s="4">
        <v>7.0</v>
      </c>
      <c r="AE42" s="32">
        <f t="shared" si="6"/>
        <v>0.09399362085</v>
      </c>
      <c r="AF42" s="33">
        <f t="shared" si="7"/>
        <v>41</v>
      </c>
      <c r="AG42" s="28">
        <f t="shared" si="8"/>
        <v>5.79</v>
      </c>
      <c r="AH42" s="34">
        <f t="shared" si="9"/>
        <v>274.8007461</v>
      </c>
      <c r="AI42" s="32">
        <f t="shared" si="10"/>
        <v>-0.184591715</v>
      </c>
      <c r="AJ42" s="33">
        <f t="shared" si="11"/>
        <v>42</v>
      </c>
      <c r="AK42" s="35">
        <v>310.0</v>
      </c>
      <c r="AL42" s="32">
        <f t="shared" si="12"/>
        <v>-0.08014598973</v>
      </c>
      <c r="AM42" s="33">
        <f t="shared" si="13"/>
        <v>20</v>
      </c>
      <c r="AN42" s="33">
        <f t="shared" si="14"/>
        <v>0.03220491167</v>
      </c>
      <c r="AO42" s="33">
        <f t="shared" si="15"/>
        <v>40</v>
      </c>
      <c r="AP42" s="33">
        <f t="shared" si="16"/>
        <v>44</v>
      </c>
      <c r="AQ42" s="33">
        <f t="shared" si="17"/>
        <v>40</v>
      </c>
      <c r="AR42" s="33">
        <f t="shared" si="18"/>
        <v>-34</v>
      </c>
      <c r="AS42" s="33">
        <f t="shared" si="19"/>
        <v>42</v>
      </c>
      <c r="AT42" s="33">
        <v>40.0</v>
      </c>
      <c r="AU42" s="33"/>
    </row>
    <row r="43" ht="15.75" customHeight="1">
      <c r="A43" s="25" t="s">
        <v>409</v>
      </c>
      <c r="B43" s="25" t="s">
        <v>410</v>
      </c>
      <c r="C43" s="25" t="s">
        <v>411</v>
      </c>
      <c r="D43" s="25" t="s">
        <v>412</v>
      </c>
      <c r="E43" s="25" t="s">
        <v>413</v>
      </c>
      <c r="F43" s="25" t="s">
        <v>414</v>
      </c>
      <c r="G43" s="25" t="s">
        <v>415</v>
      </c>
      <c r="H43" s="25">
        <v>13.09</v>
      </c>
      <c r="I43" s="25" t="s">
        <v>416</v>
      </c>
      <c r="J43" s="26">
        <v>1224379.0</v>
      </c>
      <c r="K43" s="25">
        <v>0.13</v>
      </c>
      <c r="L43" s="25">
        <v>27.58</v>
      </c>
      <c r="M43" s="28" t="s">
        <v>125</v>
      </c>
      <c r="N43" s="25">
        <v>0.98</v>
      </c>
      <c r="O43" s="25">
        <v>0.0</v>
      </c>
      <c r="P43" s="25">
        <v>8.1</v>
      </c>
      <c r="Q43" s="25" t="s">
        <v>304</v>
      </c>
      <c r="R43" s="29">
        <v>0.98</v>
      </c>
      <c r="U43" s="4">
        <v>1.09</v>
      </c>
      <c r="V43" s="28">
        <v>10.0</v>
      </c>
      <c r="W43" s="29">
        <v>0.7</v>
      </c>
      <c r="X43" s="29">
        <v>18.28</v>
      </c>
      <c r="Y43" s="28">
        <v>4.63</v>
      </c>
      <c r="Z43" s="4">
        <f t="shared" si="2"/>
        <v>4</v>
      </c>
      <c r="AA43" s="28">
        <f t="shared" si="3"/>
        <v>10.4833</v>
      </c>
      <c r="AB43" s="28">
        <f t="shared" si="4"/>
        <v>15.42424383</v>
      </c>
      <c r="AC43" s="32">
        <f t="shared" si="5"/>
        <v>-0.02397464766</v>
      </c>
      <c r="AD43" s="4">
        <v>7.0</v>
      </c>
      <c r="AE43" s="32">
        <f t="shared" si="6"/>
        <v>0.06682535234</v>
      </c>
      <c r="AF43" s="33">
        <f t="shared" si="7"/>
        <v>43</v>
      </c>
      <c r="AG43" s="28">
        <f t="shared" si="8"/>
        <v>5.79</v>
      </c>
      <c r="AH43" s="34">
        <f t="shared" si="9"/>
        <v>13.13920553</v>
      </c>
      <c r="AI43" s="32">
        <f t="shared" si="10"/>
        <v>0.00375901656</v>
      </c>
      <c r="AJ43" s="33">
        <f t="shared" si="11"/>
        <v>38</v>
      </c>
      <c r="AK43" s="35">
        <v>11.22</v>
      </c>
      <c r="AL43" s="32">
        <f t="shared" si="12"/>
        <v>-0.1428571429</v>
      </c>
      <c r="AM43" s="33">
        <f t="shared" si="13"/>
        <v>26</v>
      </c>
      <c r="AN43" s="33">
        <f t="shared" si="14"/>
        <v>0.03154072647</v>
      </c>
      <c r="AO43" s="33">
        <f t="shared" si="15"/>
        <v>41</v>
      </c>
      <c r="AP43" s="33">
        <f t="shared" si="16"/>
        <v>40</v>
      </c>
      <c r="AQ43" s="33">
        <f t="shared" si="17"/>
        <v>41</v>
      </c>
      <c r="AR43" s="33">
        <f t="shared" si="18"/>
        <v>-34</v>
      </c>
      <c r="AS43" s="33">
        <f t="shared" si="19"/>
        <v>42</v>
      </c>
      <c r="AT43" s="33">
        <v>41.0</v>
      </c>
      <c r="AU43" s="33"/>
    </row>
    <row r="44" ht="15.75" customHeight="1">
      <c r="A44" s="25" t="s">
        <v>417</v>
      </c>
      <c r="B44" s="25" t="s">
        <v>418</v>
      </c>
      <c r="C44" s="25" t="s">
        <v>265</v>
      </c>
      <c r="D44" s="25" t="s">
        <v>324</v>
      </c>
      <c r="E44" s="25" t="s">
        <v>120</v>
      </c>
      <c r="F44" s="25" t="s">
        <v>419</v>
      </c>
      <c r="G44" s="25">
        <v>33.26</v>
      </c>
      <c r="H44" s="25">
        <v>748.44</v>
      </c>
      <c r="I44" s="25">
        <v>-233.0</v>
      </c>
      <c r="J44" s="25">
        <v>112.734</v>
      </c>
      <c r="K44" s="25">
        <v>0.06</v>
      </c>
      <c r="L44" s="25">
        <v>200.17</v>
      </c>
      <c r="M44" s="28" t="s">
        <v>125</v>
      </c>
      <c r="N44" s="25">
        <v>0.0</v>
      </c>
      <c r="O44" s="25">
        <v>0.13</v>
      </c>
      <c r="P44" s="25">
        <v>31.22</v>
      </c>
      <c r="Q44" s="25" t="s">
        <v>8</v>
      </c>
      <c r="R44" s="29">
        <v>1.81</v>
      </c>
      <c r="U44" s="28">
        <f t="shared" ref="U44:U45" si="24">IF(E44="USA",R44,"completar")</f>
        <v>1.81</v>
      </c>
      <c r="V44" s="28">
        <v>10.0</v>
      </c>
      <c r="W44" s="29">
        <v>22.51</v>
      </c>
      <c r="X44" s="29">
        <v>33.26</v>
      </c>
      <c r="Y44" s="28">
        <v>4.63</v>
      </c>
      <c r="Z44" s="4">
        <f t="shared" si="2"/>
        <v>4</v>
      </c>
      <c r="AA44" s="28">
        <f t="shared" si="3"/>
        <v>14.3497</v>
      </c>
      <c r="AB44" s="28">
        <f t="shared" si="4"/>
        <v>9.66211581</v>
      </c>
      <c r="AC44" s="32">
        <f t="shared" si="5"/>
        <v>-0.1618781905</v>
      </c>
      <c r="AD44" s="4">
        <v>7.0</v>
      </c>
      <c r="AE44" s="32">
        <f t="shared" si="6"/>
        <v>0.1516218095</v>
      </c>
      <c r="AF44" s="33">
        <f t="shared" si="7"/>
        <v>32</v>
      </c>
      <c r="AG44" s="28">
        <f t="shared" si="8"/>
        <v>5.79</v>
      </c>
      <c r="AH44" s="34">
        <f t="shared" si="9"/>
        <v>1213.502826</v>
      </c>
      <c r="AI44" s="32">
        <f t="shared" si="10"/>
        <v>0.62137623</v>
      </c>
      <c r="AJ44" s="33">
        <f t="shared" si="11"/>
        <v>27</v>
      </c>
      <c r="AK44" s="34"/>
      <c r="AL44" s="32">
        <f t="shared" si="12"/>
        <v>-1</v>
      </c>
      <c r="AM44" s="33">
        <f t="shared" si="13"/>
        <v>49</v>
      </c>
      <c r="AN44" s="33">
        <f t="shared" si="14"/>
        <v>0.03153813002</v>
      </c>
      <c r="AO44" s="33">
        <f t="shared" si="15"/>
        <v>42</v>
      </c>
      <c r="AP44" s="33">
        <f t="shared" si="16"/>
        <v>39</v>
      </c>
      <c r="AQ44" s="33">
        <f t="shared" si="17"/>
        <v>42</v>
      </c>
      <c r="AR44" s="33">
        <f t="shared" si="18"/>
        <v>-20</v>
      </c>
      <c r="AS44" s="33">
        <f t="shared" si="19"/>
        <v>35</v>
      </c>
      <c r="AT44" s="33">
        <v>42.0</v>
      </c>
      <c r="AU44" s="33"/>
    </row>
    <row r="45" ht="15.75" customHeight="1">
      <c r="A45" s="25" t="s">
        <v>420</v>
      </c>
      <c r="B45" s="25" t="s">
        <v>421</v>
      </c>
      <c r="C45" s="25" t="s">
        <v>299</v>
      </c>
      <c r="D45" s="25" t="s">
        <v>379</v>
      </c>
      <c r="E45" s="25" t="s">
        <v>120</v>
      </c>
      <c r="F45" s="25" t="s">
        <v>422</v>
      </c>
      <c r="G45" s="25">
        <v>36.55</v>
      </c>
      <c r="H45" s="25">
        <v>42.54</v>
      </c>
      <c r="I45" s="25">
        <v>14.0</v>
      </c>
      <c r="J45" s="25">
        <v>67.605</v>
      </c>
      <c r="K45" s="25" t="s">
        <v>261</v>
      </c>
      <c r="L45" s="4">
        <v>0.0</v>
      </c>
      <c r="M45" s="28" t="s">
        <v>125</v>
      </c>
      <c r="N45" s="25">
        <v>0.0</v>
      </c>
      <c r="O45" s="25">
        <v>2.22</v>
      </c>
      <c r="P45" s="25">
        <v>19.29</v>
      </c>
      <c r="Q45" s="25" t="s">
        <v>8</v>
      </c>
      <c r="R45" s="29">
        <v>0.55</v>
      </c>
      <c r="U45" s="28">
        <f t="shared" si="24"/>
        <v>0.55</v>
      </c>
      <c r="V45" s="28">
        <v>10.0</v>
      </c>
      <c r="W45" s="29">
        <v>1.16</v>
      </c>
      <c r="X45" s="29">
        <v>36.55</v>
      </c>
      <c r="Y45" s="28">
        <v>4.63</v>
      </c>
      <c r="Z45" s="4">
        <f t="shared" si="2"/>
        <v>5</v>
      </c>
      <c r="AA45" s="28">
        <f t="shared" si="3"/>
        <v>7.5835</v>
      </c>
      <c r="AB45" s="28">
        <f t="shared" si="4"/>
        <v>38.70718018</v>
      </c>
      <c r="AC45" s="32">
        <f t="shared" si="5"/>
        <v>0.008225636315</v>
      </c>
      <c r="AD45" s="4">
        <v>7.0</v>
      </c>
      <c r="AE45" s="32">
        <f t="shared" si="6"/>
        <v>0.2233256363</v>
      </c>
      <c r="AF45" s="33">
        <f t="shared" si="7"/>
        <v>27</v>
      </c>
      <c r="AG45" s="28">
        <f t="shared" si="8"/>
        <v>5.79</v>
      </c>
      <c r="AH45" s="34">
        <f t="shared" si="9"/>
        <v>41.50195509</v>
      </c>
      <c r="AI45" s="32">
        <f t="shared" si="10"/>
        <v>-0.02440161977</v>
      </c>
      <c r="AJ45" s="33">
        <f t="shared" si="11"/>
        <v>40</v>
      </c>
      <c r="AK45" s="35">
        <v>32.64</v>
      </c>
      <c r="AL45" s="32">
        <f t="shared" si="12"/>
        <v>-0.2327221439</v>
      </c>
      <c r="AM45" s="33">
        <f t="shared" si="13"/>
        <v>41</v>
      </c>
      <c r="AN45" s="33">
        <f t="shared" si="14"/>
        <v>0.03139524297</v>
      </c>
      <c r="AO45" s="33">
        <f t="shared" si="15"/>
        <v>43</v>
      </c>
      <c r="AP45" s="33">
        <f t="shared" si="16"/>
        <v>39</v>
      </c>
      <c r="AQ45" s="33">
        <f t="shared" si="17"/>
        <v>42</v>
      </c>
      <c r="AR45" s="33">
        <f t="shared" si="18"/>
        <v>-28</v>
      </c>
      <c r="AS45" s="33">
        <f t="shared" si="19"/>
        <v>41</v>
      </c>
      <c r="AT45" s="37">
        <v>43.0</v>
      </c>
      <c r="AU45" s="33"/>
    </row>
    <row r="46" ht="15.75" customHeight="1">
      <c r="A46" s="25" t="s">
        <v>423</v>
      </c>
      <c r="B46" s="25" t="s">
        <v>424</v>
      </c>
      <c r="C46" s="25" t="s">
        <v>181</v>
      </c>
      <c r="D46" s="25" t="s">
        <v>203</v>
      </c>
      <c r="E46" s="25" t="s">
        <v>425</v>
      </c>
      <c r="F46" s="25" t="s">
        <v>426</v>
      </c>
      <c r="G46" s="25" t="s">
        <v>427</v>
      </c>
      <c r="H46" s="25">
        <v>265.99</v>
      </c>
      <c r="I46" s="25" t="s">
        <v>428</v>
      </c>
      <c r="J46" s="26">
        <v>4294783.0</v>
      </c>
      <c r="K46" s="25">
        <v>0.01</v>
      </c>
      <c r="L46" s="4">
        <v>0.0</v>
      </c>
      <c r="M46" s="28" t="s">
        <v>125</v>
      </c>
      <c r="N46" s="4">
        <v>0.0</v>
      </c>
      <c r="O46" s="4">
        <v>0.0</v>
      </c>
      <c r="P46" s="25">
        <v>47.4</v>
      </c>
      <c r="Q46" s="25" t="s">
        <v>261</v>
      </c>
      <c r="R46" s="39">
        <v>3.23</v>
      </c>
      <c r="U46" s="39">
        <v>3.23</v>
      </c>
      <c r="V46" s="28">
        <v>10.0</v>
      </c>
      <c r="W46" s="29">
        <v>2.51</v>
      </c>
      <c r="X46" s="29">
        <v>107.26</v>
      </c>
      <c r="Y46" s="28">
        <v>4.63</v>
      </c>
      <c r="Z46" s="4">
        <f t="shared" si="2"/>
        <v>7</v>
      </c>
      <c r="AA46" s="28">
        <f t="shared" si="3"/>
        <v>21.9751</v>
      </c>
      <c r="AB46" s="28">
        <f t="shared" si="4"/>
        <v>6.677751735</v>
      </c>
      <c r="AC46" s="32">
        <f t="shared" si="5"/>
        <v>-0.3274233553</v>
      </c>
      <c r="AD46" s="4">
        <v>7.0</v>
      </c>
      <c r="AE46" s="32">
        <f t="shared" si="6"/>
        <v>0.1465766447</v>
      </c>
      <c r="AF46" s="33">
        <f t="shared" si="7"/>
        <v>33</v>
      </c>
      <c r="AG46" s="28">
        <f t="shared" si="8"/>
        <v>5.79</v>
      </c>
      <c r="AH46" s="34">
        <f t="shared" si="9"/>
        <v>197.0371675</v>
      </c>
      <c r="AI46" s="32">
        <f t="shared" si="10"/>
        <v>-0.2592309202</v>
      </c>
      <c r="AJ46" s="33">
        <f t="shared" si="11"/>
        <v>43</v>
      </c>
      <c r="AK46" s="38">
        <v>222.96</v>
      </c>
      <c r="AL46" s="32">
        <f t="shared" si="12"/>
        <v>-0.161772999</v>
      </c>
      <c r="AM46" s="33">
        <f t="shared" si="13"/>
        <v>32</v>
      </c>
      <c r="AN46" s="33">
        <f t="shared" si="14"/>
        <v>0.03133099125</v>
      </c>
      <c r="AO46" s="33">
        <f t="shared" si="15"/>
        <v>44</v>
      </c>
      <c r="AP46" s="33">
        <f t="shared" si="16"/>
        <v>39</v>
      </c>
      <c r="AQ46" s="33">
        <f t="shared" si="17"/>
        <v>42</v>
      </c>
      <c r="AR46" s="33">
        <f t="shared" si="18"/>
        <v>-34</v>
      </c>
      <c r="AS46" s="33">
        <f t="shared" si="19"/>
        <v>42</v>
      </c>
      <c r="AT46" s="37">
        <v>44.0</v>
      </c>
      <c r="AU46" s="33"/>
    </row>
    <row r="47" ht="15.75" customHeight="1">
      <c r="A47" s="25" t="s">
        <v>39</v>
      </c>
      <c r="B47" s="25" t="s">
        <v>40</v>
      </c>
      <c r="C47" s="25" t="s">
        <v>181</v>
      </c>
      <c r="D47" s="25" t="s">
        <v>367</v>
      </c>
      <c r="E47" s="25" t="s">
        <v>120</v>
      </c>
      <c r="F47" s="25" t="s">
        <v>429</v>
      </c>
      <c r="G47" s="25">
        <v>57.08</v>
      </c>
      <c r="H47" s="25">
        <v>209.37</v>
      </c>
      <c r="I47" s="25">
        <v>54.0</v>
      </c>
      <c r="J47" s="25" t="s">
        <v>430</v>
      </c>
      <c r="K47" s="25">
        <v>0.97</v>
      </c>
      <c r="L47" s="25">
        <v>20.09</v>
      </c>
      <c r="M47" s="28" t="s">
        <v>125</v>
      </c>
      <c r="N47" s="25">
        <v>0.39</v>
      </c>
      <c r="O47" s="25">
        <v>0.8</v>
      </c>
      <c r="P47" s="25">
        <v>23.35</v>
      </c>
      <c r="Q47" s="25" t="s">
        <v>8</v>
      </c>
      <c r="R47" s="29">
        <v>1.45</v>
      </c>
      <c r="U47" s="28">
        <f t="shared" ref="U47:U48" si="25">IF(E47="USA",R47,"completar")</f>
        <v>1.45</v>
      </c>
      <c r="V47" s="28">
        <v>10.0</v>
      </c>
      <c r="W47" s="29">
        <v>3.66</v>
      </c>
      <c r="X47" s="29">
        <v>57.08</v>
      </c>
      <c r="Y47" s="28">
        <v>4.63</v>
      </c>
      <c r="Z47" s="4">
        <f t="shared" si="2"/>
        <v>7</v>
      </c>
      <c r="AA47" s="28">
        <f t="shared" si="3"/>
        <v>12.4165</v>
      </c>
      <c r="AB47" s="28">
        <f t="shared" si="4"/>
        <v>18.46210653</v>
      </c>
      <c r="AC47" s="32">
        <f t="shared" si="5"/>
        <v>-0.148918714</v>
      </c>
      <c r="AD47" s="4">
        <v>7.0</v>
      </c>
      <c r="AE47" s="32">
        <f t="shared" si="6"/>
        <v>0.09648128603</v>
      </c>
      <c r="AF47" s="33">
        <f t="shared" si="7"/>
        <v>40</v>
      </c>
      <c r="AG47" s="28">
        <f t="shared" si="8"/>
        <v>5.79</v>
      </c>
      <c r="AH47" s="34">
        <f t="shared" si="9"/>
        <v>153.5303627</v>
      </c>
      <c r="AI47" s="32">
        <f t="shared" si="10"/>
        <v>-0.2667031442</v>
      </c>
      <c r="AJ47" s="33">
        <f t="shared" si="11"/>
        <v>44</v>
      </c>
      <c r="AK47" s="35">
        <v>175.0</v>
      </c>
      <c r="AL47" s="32">
        <f t="shared" si="12"/>
        <v>-0.1641591441</v>
      </c>
      <c r="AM47" s="33">
        <f t="shared" si="13"/>
        <v>33</v>
      </c>
      <c r="AN47" s="33">
        <f t="shared" si="14"/>
        <v>0.03036807279</v>
      </c>
      <c r="AO47" s="33">
        <f t="shared" si="15"/>
        <v>46</v>
      </c>
      <c r="AP47" s="33">
        <f t="shared" si="16"/>
        <v>30</v>
      </c>
      <c r="AQ47" s="33">
        <f t="shared" si="17"/>
        <v>45</v>
      </c>
      <c r="AR47" s="33">
        <f t="shared" si="18"/>
        <v>-40</v>
      </c>
      <c r="AS47" s="33">
        <f t="shared" si="19"/>
        <v>45</v>
      </c>
      <c r="AT47" s="33">
        <v>45.0</v>
      </c>
      <c r="AU47" s="33"/>
    </row>
    <row r="48" ht="15.75" customHeight="1">
      <c r="A48" s="25" t="s">
        <v>95</v>
      </c>
      <c r="B48" s="25" t="s">
        <v>431</v>
      </c>
      <c r="C48" s="25" t="s">
        <v>181</v>
      </c>
      <c r="D48" s="25" t="s">
        <v>203</v>
      </c>
      <c r="E48" s="25" t="s">
        <v>120</v>
      </c>
      <c r="F48" s="25" t="s">
        <v>432</v>
      </c>
      <c r="G48" s="25">
        <v>21.5</v>
      </c>
      <c r="H48" s="25">
        <v>949.83</v>
      </c>
      <c r="I48" s="25">
        <v>423.0</v>
      </c>
      <c r="J48" s="25" t="s">
        <v>433</v>
      </c>
      <c r="K48" s="25">
        <v>0.28</v>
      </c>
      <c r="L48" s="25">
        <v>254.95</v>
      </c>
      <c r="M48" s="28" t="s">
        <v>125</v>
      </c>
      <c r="N48" s="25">
        <v>0.05</v>
      </c>
      <c r="O48" s="25">
        <v>0.0</v>
      </c>
      <c r="P48" s="25">
        <v>11.88</v>
      </c>
      <c r="Q48" s="25" t="s">
        <v>434</v>
      </c>
      <c r="R48" s="29">
        <v>2.16</v>
      </c>
      <c r="U48" s="28">
        <f t="shared" si="25"/>
        <v>2.16</v>
      </c>
      <c r="V48" s="28">
        <v>10.0</v>
      </c>
      <c r="W48" s="29">
        <v>7.59</v>
      </c>
      <c r="X48" s="29">
        <v>21.5</v>
      </c>
      <c r="Y48" s="28">
        <v>4.63</v>
      </c>
      <c r="Z48" s="4">
        <f t="shared" si="2"/>
        <v>7</v>
      </c>
      <c r="AA48" s="28">
        <f t="shared" si="3"/>
        <v>16.2292</v>
      </c>
      <c r="AB48" s="28">
        <f t="shared" si="4"/>
        <v>10.83517531</v>
      </c>
      <c r="AC48" s="32">
        <f t="shared" si="5"/>
        <v>-0.09325461331</v>
      </c>
      <c r="AD48" s="4">
        <v>7.0</v>
      </c>
      <c r="AE48" s="32">
        <f t="shared" si="6"/>
        <v>0.02604538669</v>
      </c>
      <c r="AF48" s="33">
        <f t="shared" si="7"/>
        <v>46</v>
      </c>
      <c r="AG48" s="28">
        <f t="shared" si="8"/>
        <v>5.79</v>
      </c>
      <c r="AH48" s="34">
        <f t="shared" si="9"/>
        <v>186.0716684</v>
      </c>
      <c r="AI48" s="32">
        <f t="shared" si="10"/>
        <v>-0.8041000301</v>
      </c>
      <c r="AJ48" s="33">
        <f t="shared" si="11"/>
        <v>49</v>
      </c>
      <c r="AK48" s="44">
        <v>850.0</v>
      </c>
      <c r="AL48" s="32">
        <f t="shared" si="12"/>
        <v>-0.1051030184</v>
      </c>
      <c r="AM48" s="33">
        <f t="shared" si="13"/>
        <v>23</v>
      </c>
      <c r="AN48" s="33">
        <f t="shared" si="14"/>
        <v>0.03065646696</v>
      </c>
      <c r="AO48" s="33">
        <f t="shared" si="15"/>
        <v>45</v>
      </c>
      <c r="AP48" s="33">
        <f t="shared" si="16"/>
        <v>29</v>
      </c>
      <c r="AQ48" s="33">
        <f t="shared" si="17"/>
        <v>46</v>
      </c>
      <c r="AR48" s="33">
        <f t="shared" si="18"/>
        <v>-44</v>
      </c>
      <c r="AS48" s="33">
        <f t="shared" si="19"/>
        <v>47</v>
      </c>
      <c r="AT48" s="33">
        <v>46.0</v>
      </c>
      <c r="AU48" s="33"/>
    </row>
    <row r="49" ht="15.75" customHeight="1">
      <c r="A49" s="28" t="s">
        <v>435</v>
      </c>
      <c r="B49" s="28" t="s">
        <v>436</v>
      </c>
      <c r="C49" s="28" t="s">
        <v>181</v>
      </c>
      <c r="D49" s="28" t="s">
        <v>367</v>
      </c>
      <c r="E49" s="28" t="s">
        <v>120</v>
      </c>
      <c r="F49" s="28" t="s">
        <v>437</v>
      </c>
      <c r="G49" s="28">
        <v>56.32</v>
      </c>
      <c r="H49" s="28">
        <v>410.52</v>
      </c>
      <c r="I49" s="28">
        <v>0.0193</v>
      </c>
      <c r="J49" s="28" t="s">
        <v>438</v>
      </c>
      <c r="K49" s="28">
        <v>0.03</v>
      </c>
      <c r="L49" s="28">
        <v>118.52</v>
      </c>
      <c r="M49" s="28" t="s">
        <v>125</v>
      </c>
      <c r="N49" s="28">
        <v>0.33</v>
      </c>
      <c r="O49" s="28">
        <v>1.73</v>
      </c>
      <c r="P49" s="28">
        <v>6.22</v>
      </c>
      <c r="Q49" s="28" t="s">
        <v>269</v>
      </c>
      <c r="R49" s="28">
        <v>1.77</v>
      </c>
      <c r="S49" s="28" t="s">
        <v>213</v>
      </c>
      <c r="T49" s="28">
        <v>15.17</v>
      </c>
      <c r="U49" s="28">
        <v>1.79</v>
      </c>
      <c r="V49" s="28">
        <v>10.0</v>
      </c>
      <c r="W49" s="28">
        <v>7.29</v>
      </c>
      <c r="X49" s="28">
        <v>57.53</v>
      </c>
      <c r="Y49" s="28">
        <v>4.63</v>
      </c>
      <c r="Z49" s="4">
        <f t="shared" si="2"/>
        <v>7</v>
      </c>
      <c r="AA49" s="28">
        <f t="shared" si="3"/>
        <v>14.2423</v>
      </c>
      <c r="AB49" s="28">
        <f t="shared" si="4"/>
        <v>13.80776825</v>
      </c>
      <c r="AC49" s="32">
        <f t="shared" si="5"/>
        <v>-0.1844298875</v>
      </c>
      <c r="AD49" s="4">
        <v>7.0</v>
      </c>
      <c r="AE49" s="32">
        <f t="shared" si="6"/>
        <v>-0.1016298875</v>
      </c>
      <c r="AF49" s="33">
        <f t="shared" si="7"/>
        <v>48</v>
      </c>
      <c r="AG49" s="28">
        <f t="shared" si="8"/>
        <v>5.79</v>
      </c>
      <c r="AH49" s="34">
        <f t="shared" si="9"/>
        <v>116.0054301</v>
      </c>
      <c r="AI49" s="32">
        <f t="shared" si="10"/>
        <v>-0.717418323</v>
      </c>
      <c r="AJ49" s="33">
        <f t="shared" si="11"/>
        <v>48</v>
      </c>
      <c r="AK49" s="38">
        <v>350.0</v>
      </c>
      <c r="AL49" s="32">
        <f t="shared" si="12"/>
        <v>-0.1474227809</v>
      </c>
      <c r="AM49" s="33">
        <f t="shared" si="13"/>
        <v>29</v>
      </c>
      <c r="AN49" s="33">
        <f t="shared" si="14"/>
        <v>0.02975447357</v>
      </c>
      <c r="AO49" s="33">
        <f t="shared" si="15"/>
        <v>47</v>
      </c>
      <c r="AP49" s="33">
        <f t="shared" si="16"/>
        <v>22</v>
      </c>
      <c r="AQ49" s="33">
        <f t="shared" si="17"/>
        <v>47</v>
      </c>
      <c r="AR49" s="33">
        <f t="shared" si="18"/>
        <v>-48</v>
      </c>
      <c r="AS49" s="33">
        <f t="shared" si="19"/>
        <v>49</v>
      </c>
      <c r="AT49" s="33">
        <v>47.0</v>
      </c>
      <c r="AU49" s="33"/>
    </row>
    <row r="50" ht="15.75" customHeight="1">
      <c r="A50" s="25" t="s">
        <v>439</v>
      </c>
      <c r="B50" s="25" t="s">
        <v>440</v>
      </c>
      <c r="C50" s="25" t="s">
        <v>265</v>
      </c>
      <c r="D50" s="25" t="s">
        <v>324</v>
      </c>
      <c r="E50" s="25" t="s">
        <v>120</v>
      </c>
      <c r="F50" s="25" t="s">
        <v>441</v>
      </c>
      <c r="G50" s="25" t="s">
        <v>442</v>
      </c>
      <c r="H50" s="25">
        <v>558.89</v>
      </c>
      <c r="I50" s="25" t="s">
        <v>443</v>
      </c>
      <c r="J50" s="26">
        <v>285199.0</v>
      </c>
      <c r="K50" s="25">
        <v>0.02</v>
      </c>
      <c r="L50" s="4">
        <v>0.0</v>
      </c>
      <c r="M50" s="28" t="s">
        <v>125</v>
      </c>
      <c r="N50" s="25">
        <v>0.35</v>
      </c>
      <c r="O50" s="25">
        <v>0.08</v>
      </c>
      <c r="P50" s="25">
        <v>14.87</v>
      </c>
      <c r="Q50" s="25" t="s">
        <v>311</v>
      </c>
      <c r="R50" s="39">
        <v>0.65</v>
      </c>
      <c r="U50" s="41">
        <f>IF(E50="USA",R50,"completar")</f>
        <v>0.65</v>
      </c>
      <c r="V50" s="28">
        <v>10.0</v>
      </c>
      <c r="W50" s="29">
        <v>11.38</v>
      </c>
      <c r="X50" s="29">
        <v>49.1</v>
      </c>
      <c r="Y50" s="28">
        <v>4.63</v>
      </c>
      <c r="Z50" s="4">
        <f t="shared" si="2"/>
        <v>4</v>
      </c>
      <c r="AA50" s="28">
        <f t="shared" si="3"/>
        <v>8.1205</v>
      </c>
      <c r="AB50" s="28">
        <f t="shared" si="4"/>
        <v>24.26889941</v>
      </c>
      <c r="AC50" s="32">
        <f t="shared" si="5"/>
        <v>-0.09576517926</v>
      </c>
      <c r="AD50" s="4">
        <v>7.0</v>
      </c>
      <c r="AE50" s="32">
        <f t="shared" si="6"/>
        <v>0.05723482074</v>
      </c>
      <c r="AF50" s="33">
        <f t="shared" si="7"/>
        <v>44</v>
      </c>
      <c r="AG50" s="28">
        <f t="shared" si="8"/>
        <v>5.79</v>
      </c>
      <c r="AH50" s="34">
        <f t="shared" si="9"/>
        <v>330.7000484</v>
      </c>
      <c r="AI50" s="32">
        <f t="shared" si="10"/>
        <v>-0.4082913483</v>
      </c>
      <c r="AJ50" s="33">
        <f t="shared" si="11"/>
        <v>47</v>
      </c>
      <c r="AK50" s="38">
        <v>432.54</v>
      </c>
      <c r="AL50" s="32">
        <f t="shared" si="12"/>
        <v>-0.2260731092</v>
      </c>
      <c r="AM50" s="33">
        <f t="shared" si="13"/>
        <v>40</v>
      </c>
      <c r="AN50" s="33">
        <f t="shared" si="14"/>
        <v>0.02896117901</v>
      </c>
      <c r="AO50" s="33">
        <f t="shared" si="15"/>
        <v>48</v>
      </c>
      <c r="AP50" s="33">
        <f t="shared" si="16"/>
        <v>16</v>
      </c>
      <c r="AQ50" s="33">
        <f t="shared" si="17"/>
        <v>48</v>
      </c>
      <c r="AR50" s="33">
        <f t="shared" si="18"/>
        <v>-42</v>
      </c>
      <c r="AS50" s="33">
        <f t="shared" si="19"/>
        <v>46</v>
      </c>
      <c r="AT50" s="33">
        <v>48.0</v>
      </c>
      <c r="AU50" s="33"/>
    </row>
    <row r="51" ht="15.75" customHeight="1">
      <c r="A51" s="28" t="s">
        <v>444</v>
      </c>
      <c r="B51" s="28" t="s">
        <v>445</v>
      </c>
      <c r="C51" s="28" t="s">
        <v>188</v>
      </c>
      <c r="D51" s="28" t="s">
        <v>446</v>
      </c>
      <c r="E51" s="28" t="s">
        <v>237</v>
      </c>
      <c r="F51" s="28" t="s">
        <v>447</v>
      </c>
      <c r="G51" s="28">
        <v>28.79</v>
      </c>
      <c r="H51" s="28">
        <v>117.6</v>
      </c>
      <c r="I51" s="28">
        <v>-0.0012</v>
      </c>
      <c r="J51" s="28" t="s">
        <v>448</v>
      </c>
      <c r="K51" s="28">
        <v>0.0</v>
      </c>
      <c r="L51" s="28">
        <v>116.32</v>
      </c>
      <c r="M51" s="28" t="s">
        <v>125</v>
      </c>
      <c r="N51" s="28">
        <v>2.08</v>
      </c>
      <c r="O51" s="28">
        <v>0.11</v>
      </c>
      <c r="P51" s="28">
        <v>9.38</v>
      </c>
      <c r="Q51" s="28" t="s">
        <v>260</v>
      </c>
      <c r="R51" s="28">
        <v>0.84</v>
      </c>
      <c r="S51" s="28" t="s">
        <v>449</v>
      </c>
      <c r="T51" s="28">
        <v>10.78</v>
      </c>
      <c r="U51" s="28">
        <v>1.35</v>
      </c>
      <c r="V51" s="28">
        <v>10.0</v>
      </c>
      <c r="W51" s="28">
        <v>4.08</v>
      </c>
      <c r="X51" s="28">
        <v>28.62</v>
      </c>
      <c r="Y51" s="28">
        <v>4.63</v>
      </c>
      <c r="Z51" s="4">
        <f t="shared" si="2"/>
        <v>4</v>
      </c>
      <c r="AA51" s="28">
        <f t="shared" si="3"/>
        <v>11.8795</v>
      </c>
      <c r="AB51" s="28">
        <f t="shared" si="4"/>
        <v>12.69116061</v>
      </c>
      <c r="AC51" s="32">
        <f t="shared" si="5"/>
        <v>-0.1096774214</v>
      </c>
      <c r="AD51" s="4">
        <v>7.0</v>
      </c>
      <c r="AE51" s="32">
        <f t="shared" si="6"/>
        <v>0.006022578625</v>
      </c>
      <c r="AF51" s="33">
        <f t="shared" si="7"/>
        <v>47</v>
      </c>
      <c r="AG51" s="28">
        <f t="shared" si="8"/>
        <v>5.79</v>
      </c>
      <c r="AH51" s="34">
        <f t="shared" si="9"/>
        <v>84.52012435</v>
      </c>
      <c r="AI51" s="32">
        <f t="shared" si="10"/>
        <v>-0.2812914596</v>
      </c>
      <c r="AJ51" s="33">
        <f t="shared" si="11"/>
        <v>45</v>
      </c>
      <c r="AK51" s="38">
        <v>65.59</v>
      </c>
      <c r="AL51" s="32">
        <f t="shared" si="12"/>
        <v>-0.4422619048</v>
      </c>
      <c r="AM51" s="33">
        <f t="shared" si="13"/>
        <v>47</v>
      </c>
      <c r="AN51" s="33">
        <f t="shared" si="14"/>
        <v>0.02821539831</v>
      </c>
      <c r="AO51" s="33">
        <f t="shared" si="15"/>
        <v>49</v>
      </c>
      <c r="AP51" s="33">
        <f t="shared" si="16"/>
        <v>8</v>
      </c>
      <c r="AQ51" s="33">
        <f t="shared" si="17"/>
        <v>49</v>
      </c>
      <c r="AR51" s="33">
        <f t="shared" si="18"/>
        <v>-46</v>
      </c>
      <c r="AS51" s="33">
        <f t="shared" si="19"/>
        <v>48</v>
      </c>
      <c r="AT51" s="33">
        <v>49.0</v>
      </c>
      <c r="AU51" s="33"/>
    </row>
    <row r="52" ht="15.75" customHeight="1">
      <c r="J52" s="26"/>
      <c r="R52" s="29"/>
      <c r="W52" s="29"/>
      <c r="X52" s="29"/>
      <c r="Z52" s="4"/>
      <c r="AC52" s="32"/>
      <c r="AE52" s="32"/>
      <c r="AF52" s="32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</row>
    <row r="53" ht="15.75" customHeight="1">
      <c r="C53" s="25" t="s">
        <v>118</v>
      </c>
      <c r="D53" s="4">
        <v>5.0</v>
      </c>
    </row>
    <row r="54" ht="15.75" customHeight="1">
      <c r="C54" s="25" t="s">
        <v>181</v>
      </c>
      <c r="D54" s="4">
        <v>7.0</v>
      </c>
    </row>
    <row r="55" ht="15.75" customHeight="1">
      <c r="C55" s="25" t="s">
        <v>188</v>
      </c>
      <c r="D55" s="4">
        <v>4.0</v>
      </c>
    </row>
    <row r="56" ht="15.75" customHeight="1">
      <c r="C56" s="25" t="s">
        <v>299</v>
      </c>
      <c r="D56" s="4">
        <v>5.0</v>
      </c>
    </row>
    <row r="57" ht="15.75" customHeight="1">
      <c r="C57" s="25" t="s">
        <v>236</v>
      </c>
      <c r="D57" s="4">
        <v>4.0</v>
      </c>
    </row>
    <row r="58" ht="15.75" customHeight="1">
      <c r="C58" s="28" t="s">
        <v>265</v>
      </c>
      <c r="D58" s="4">
        <v>4.0</v>
      </c>
    </row>
    <row r="59" ht="15.75" customHeight="1">
      <c r="C59" s="28" t="s">
        <v>334</v>
      </c>
      <c r="D59" s="4">
        <v>3.0</v>
      </c>
    </row>
    <row r="60" ht="15.75" customHeight="1">
      <c r="C60" s="25" t="s">
        <v>346</v>
      </c>
      <c r="D60" s="4">
        <v>4.0</v>
      </c>
    </row>
    <row r="61" ht="15.75" customHeight="1">
      <c r="C61" s="25" t="s">
        <v>411</v>
      </c>
      <c r="D61" s="4">
        <v>4.0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U$51">
    <sortState ref="A2:AU51">
      <sortCondition ref="AT2:AT51"/>
      <sortCondition ref="AQ2:AQ51"/>
    </sortState>
  </autoFilter>
  <mergeCells count="7">
    <mergeCell ref="Z1:AF1"/>
    <mergeCell ref="AG1:AJ1"/>
    <mergeCell ref="AK1:AM1"/>
    <mergeCell ref="AN1:AO1"/>
    <mergeCell ref="AP1:AQ1"/>
    <mergeCell ref="AR1:AS1"/>
    <mergeCell ref="AT1:AU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16.89"/>
    <col customWidth="1" min="7" max="7" width="16.78"/>
  </cols>
  <sheetData>
    <row r="1">
      <c r="B1" s="1" t="s">
        <v>0</v>
      </c>
      <c r="C1" s="1" t="s">
        <v>1</v>
      </c>
      <c r="D1" s="1" t="s">
        <v>2</v>
      </c>
      <c r="F1" s="2" t="s">
        <v>3</v>
      </c>
      <c r="G1" s="3" t="s">
        <v>4</v>
      </c>
    </row>
    <row r="2">
      <c r="B2" s="4" t="s">
        <v>5</v>
      </c>
      <c r="C2" s="5">
        <v>0.3</v>
      </c>
      <c r="D2" s="4" t="s">
        <v>6</v>
      </c>
      <c r="F2" s="1" t="s">
        <v>7</v>
      </c>
      <c r="G2" s="4" t="s">
        <v>8</v>
      </c>
    </row>
    <row r="3">
      <c r="B3" s="4" t="s">
        <v>9</v>
      </c>
      <c r="C3" s="5">
        <v>0.5</v>
      </c>
      <c r="D3" s="4" t="s">
        <v>10</v>
      </c>
    </row>
    <row r="4">
      <c r="B4" s="4" t="s">
        <v>11</v>
      </c>
      <c r="C4" s="5">
        <v>0.1</v>
      </c>
      <c r="D4" s="4" t="s">
        <v>12</v>
      </c>
      <c r="F4" s="6" t="s">
        <v>13</v>
      </c>
    </row>
    <row r="5">
      <c r="B5" s="4" t="s">
        <v>14</v>
      </c>
      <c r="C5" s="5">
        <v>0.05</v>
      </c>
      <c r="D5" s="4" t="s">
        <v>15</v>
      </c>
      <c r="F5" s="1" t="s">
        <v>16</v>
      </c>
      <c r="G5" s="7">
        <v>-150000.0</v>
      </c>
    </row>
    <row r="6">
      <c r="B6" s="4" t="s">
        <v>17</v>
      </c>
      <c r="C6" s="5">
        <v>0.05</v>
      </c>
      <c r="D6" s="4" t="s">
        <v>15</v>
      </c>
      <c r="F6" s="1" t="s">
        <v>18</v>
      </c>
      <c r="G6" s="7">
        <v>-180000.0</v>
      </c>
    </row>
    <row r="10">
      <c r="B10" s="8" t="s">
        <v>19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24</v>
      </c>
      <c r="H10" s="9" t="s">
        <v>25</v>
      </c>
      <c r="I10" s="9" t="s">
        <v>26</v>
      </c>
      <c r="J10" s="9" t="s">
        <v>27</v>
      </c>
      <c r="K10" s="9" t="s">
        <v>28</v>
      </c>
      <c r="L10" s="8" t="s">
        <v>29</v>
      </c>
    </row>
    <row r="11">
      <c r="B11" s="10">
        <v>1.0</v>
      </c>
      <c r="C11" s="11" t="s">
        <v>30</v>
      </c>
      <c r="D11" s="11" t="s">
        <v>31</v>
      </c>
      <c r="E11" s="12">
        <v>0.0425</v>
      </c>
      <c r="F11" s="11" t="s">
        <v>32</v>
      </c>
      <c r="G11" s="11" t="s">
        <v>33</v>
      </c>
      <c r="H11" s="11" t="s">
        <v>34</v>
      </c>
      <c r="I11" s="11" t="s">
        <v>35</v>
      </c>
      <c r="J11" s="11" t="s">
        <v>36</v>
      </c>
      <c r="K11" s="11" t="s">
        <v>37</v>
      </c>
      <c r="L11" s="13" t="s">
        <v>38</v>
      </c>
    </row>
    <row r="12">
      <c r="B12" s="10">
        <v>2.0</v>
      </c>
      <c r="C12" s="11" t="s">
        <v>39</v>
      </c>
      <c r="D12" s="11" t="s">
        <v>40</v>
      </c>
      <c r="E12" s="12">
        <v>0.0465</v>
      </c>
      <c r="F12" s="11" t="s">
        <v>32</v>
      </c>
      <c r="G12" s="14">
        <v>11885.0</v>
      </c>
      <c r="H12" s="11" t="s">
        <v>41</v>
      </c>
      <c r="I12" s="11" t="s">
        <v>42</v>
      </c>
      <c r="J12" s="11" t="s">
        <v>43</v>
      </c>
      <c r="K12" s="11" t="s">
        <v>37</v>
      </c>
      <c r="L12" s="13" t="s">
        <v>44</v>
      </c>
    </row>
    <row r="13">
      <c r="B13" s="10">
        <v>3.0</v>
      </c>
      <c r="C13" s="11" t="s">
        <v>45</v>
      </c>
      <c r="D13" s="11" t="s">
        <v>46</v>
      </c>
      <c r="E13" s="12">
        <v>0.06375</v>
      </c>
      <c r="F13" s="11" t="s">
        <v>32</v>
      </c>
      <c r="G13" s="14">
        <v>12114.0</v>
      </c>
      <c r="H13" s="11" t="s">
        <v>47</v>
      </c>
      <c r="I13" s="11" t="s">
        <v>48</v>
      </c>
      <c r="J13" s="11" t="s">
        <v>49</v>
      </c>
      <c r="K13" s="11" t="s">
        <v>50</v>
      </c>
      <c r="L13" s="13" t="s">
        <v>51</v>
      </c>
    </row>
    <row r="14">
      <c r="B14" s="10">
        <v>4.0</v>
      </c>
      <c r="C14" s="11" t="s">
        <v>52</v>
      </c>
      <c r="D14" s="11" t="s">
        <v>53</v>
      </c>
      <c r="E14" s="12">
        <v>0.049</v>
      </c>
      <c r="F14" s="11" t="s">
        <v>32</v>
      </c>
      <c r="G14" s="15">
        <v>2034.0</v>
      </c>
      <c r="H14" s="11" t="s">
        <v>55</v>
      </c>
      <c r="I14" s="11" t="s">
        <v>56</v>
      </c>
      <c r="J14" s="11" t="s">
        <v>57</v>
      </c>
      <c r="K14" s="11" t="s">
        <v>58</v>
      </c>
      <c r="L14" s="13" t="s">
        <v>59</v>
      </c>
    </row>
    <row r="15">
      <c r="B15" s="10">
        <v>5.0</v>
      </c>
      <c r="C15" s="11" t="s">
        <v>62</v>
      </c>
      <c r="D15" s="11" t="s">
        <v>64</v>
      </c>
      <c r="E15" s="12">
        <v>0.075</v>
      </c>
      <c r="F15" s="11" t="s">
        <v>32</v>
      </c>
      <c r="G15" s="11" t="s">
        <v>68</v>
      </c>
      <c r="H15" s="11" t="s">
        <v>55</v>
      </c>
      <c r="I15" s="11" t="s">
        <v>69</v>
      </c>
      <c r="J15" s="11" t="s">
        <v>71</v>
      </c>
      <c r="K15" s="11" t="s">
        <v>73</v>
      </c>
      <c r="L15" s="13" t="s">
        <v>75</v>
      </c>
    </row>
    <row r="16">
      <c r="B16" s="10">
        <v>6.0</v>
      </c>
      <c r="C16" s="11" t="s">
        <v>95</v>
      </c>
      <c r="D16" s="11" t="s">
        <v>99</v>
      </c>
      <c r="E16" s="12">
        <v>0.05875</v>
      </c>
      <c r="F16" s="11" t="s">
        <v>32</v>
      </c>
      <c r="G16" s="14">
        <v>12312.0</v>
      </c>
      <c r="H16" s="11" t="s">
        <v>105</v>
      </c>
      <c r="I16" s="11" t="s">
        <v>108</v>
      </c>
      <c r="J16" s="11" t="s">
        <v>110</v>
      </c>
      <c r="K16" s="11" t="s">
        <v>37</v>
      </c>
      <c r="L16" s="13" t="s">
        <v>113</v>
      </c>
    </row>
    <row r="19">
      <c r="B19" s="4" t="s">
        <v>123</v>
      </c>
    </row>
    <row r="21">
      <c r="B21" s="27" t="s">
        <v>20</v>
      </c>
      <c r="C21" s="27" t="s">
        <v>21</v>
      </c>
      <c r="D21" s="27" t="s">
        <v>22</v>
      </c>
      <c r="E21" s="27" t="s">
        <v>126</v>
      </c>
      <c r="F21" s="27" t="s">
        <v>24</v>
      </c>
      <c r="G21" s="27" t="s">
        <v>128</v>
      </c>
      <c r="H21" s="27" t="s">
        <v>25</v>
      </c>
      <c r="I21" s="27" t="s">
        <v>26</v>
      </c>
      <c r="J21" s="27" t="s">
        <v>129</v>
      </c>
      <c r="K21" s="27" t="s">
        <v>28</v>
      </c>
      <c r="L21" s="27" t="s">
        <v>29</v>
      </c>
    </row>
    <row r="22">
      <c r="B22" s="27" t="s">
        <v>130</v>
      </c>
      <c r="C22" s="27" t="s">
        <v>131</v>
      </c>
      <c r="D22" s="27" t="s">
        <v>132</v>
      </c>
      <c r="E22" s="27" t="s">
        <v>32</v>
      </c>
      <c r="F22" s="27" t="s">
        <v>133</v>
      </c>
      <c r="G22" s="27" t="s">
        <v>134</v>
      </c>
      <c r="H22" s="27" t="s">
        <v>135</v>
      </c>
      <c r="I22" s="27" t="s">
        <v>136</v>
      </c>
      <c r="J22" s="27" t="s">
        <v>137</v>
      </c>
      <c r="K22" s="27" t="s">
        <v>138</v>
      </c>
      <c r="L22" s="30" t="s">
        <v>139</v>
      </c>
    </row>
    <row r="23">
      <c r="B23" s="27" t="s">
        <v>140</v>
      </c>
      <c r="C23" s="27" t="s">
        <v>141</v>
      </c>
      <c r="D23" s="27" t="s">
        <v>132</v>
      </c>
      <c r="E23" s="27" t="s">
        <v>32</v>
      </c>
      <c r="F23" s="31">
        <v>47406.0</v>
      </c>
      <c r="G23" s="27" t="s">
        <v>134</v>
      </c>
      <c r="H23" s="27" t="s">
        <v>142</v>
      </c>
      <c r="I23" s="27" t="s">
        <v>143</v>
      </c>
      <c r="J23" s="27" t="s">
        <v>144</v>
      </c>
      <c r="K23" s="27" t="s">
        <v>73</v>
      </c>
      <c r="L23" s="30" t="s">
        <v>145</v>
      </c>
    </row>
    <row r="24">
      <c r="B24" s="27" t="s">
        <v>146</v>
      </c>
      <c r="C24" s="27" t="s">
        <v>147</v>
      </c>
      <c r="D24" s="27" t="s">
        <v>148</v>
      </c>
      <c r="E24" s="27" t="s">
        <v>32</v>
      </c>
      <c r="F24" s="31">
        <v>47164.0</v>
      </c>
      <c r="G24" s="27" t="s">
        <v>134</v>
      </c>
      <c r="H24" s="27" t="s">
        <v>149</v>
      </c>
      <c r="I24" s="27" t="s">
        <v>150</v>
      </c>
      <c r="J24" s="27" t="s">
        <v>151</v>
      </c>
      <c r="K24" s="27" t="s">
        <v>152</v>
      </c>
      <c r="L24" s="30" t="s">
        <v>153</v>
      </c>
    </row>
    <row r="25">
      <c r="B25" s="27" t="s">
        <v>154</v>
      </c>
      <c r="C25" s="27" t="s">
        <v>155</v>
      </c>
      <c r="D25" s="27" t="s">
        <v>156</v>
      </c>
      <c r="E25" s="27" t="s">
        <v>32</v>
      </c>
      <c r="F25" s="31">
        <v>11042.0</v>
      </c>
      <c r="G25" s="27" t="s">
        <v>157</v>
      </c>
      <c r="H25" s="27" t="s">
        <v>158</v>
      </c>
      <c r="I25" s="27" t="s">
        <v>159</v>
      </c>
      <c r="J25" s="27" t="s">
        <v>160</v>
      </c>
      <c r="K25" s="27" t="s">
        <v>161</v>
      </c>
      <c r="L25" s="30" t="s">
        <v>162</v>
      </c>
    </row>
    <row r="26">
      <c r="B26" s="27" t="s">
        <v>130</v>
      </c>
      <c r="C26" s="27" t="s">
        <v>131</v>
      </c>
      <c r="D26" s="27" t="s">
        <v>163</v>
      </c>
      <c r="E26" s="27" t="s">
        <v>32</v>
      </c>
      <c r="F26" s="36">
        <v>12184.0</v>
      </c>
      <c r="G26" s="27" t="s">
        <v>164</v>
      </c>
      <c r="H26" s="27" t="s">
        <v>135</v>
      </c>
      <c r="I26" s="27" t="s">
        <v>165</v>
      </c>
      <c r="J26" s="27" t="s">
        <v>166</v>
      </c>
      <c r="K26" s="27" t="s">
        <v>138</v>
      </c>
      <c r="L26" s="30" t="s">
        <v>167</v>
      </c>
    </row>
    <row r="27">
      <c r="B27" s="27" t="s">
        <v>168</v>
      </c>
      <c r="C27" s="27" t="s">
        <v>169</v>
      </c>
      <c r="D27" s="27" t="s">
        <v>170</v>
      </c>
      <c r="E27" s="27" t="s">
        <v>32</v>
      </c>
      <c r="F27" s="31">
        <v>12128.0</v>
      </c>
      <c r="G27" s="27" t="s">
        <v>164</v>
      </c>
      <c r="H27" s="27" t="s">
        <v>41</v>
      </c>
      <c r="I27" s="27" t="s">
        <v>165</v>
      </c>
      <c r="J27" s="27" t="s">
        <v>171</v>
      </c>
      <c r="K27" s="27" t="s">
        <v>172</v>
      </c>
      <c r="L27" s="30" t="s">
        <v>173</v>
      </c>
    </row>
    <row r="28">
      <c r="B28" s="27" t="s">
        <v>174</v>
      </c>
      <c r="C28" s="27" t="s">
        <v>175</v>
      </c>
      <c r="D28" s="27" t="s">
        <v>176</v>
      </c>
      <c r="E28" s="27" t="s">
        <v>32</v>
      </c>
      <c r="F28" s="31">
        <v>12002.0</v>
      </c>
      <c r="G28" s="27" t="s">
        <v>164</v>
      </c>
      <c r="H28" s="27" t="s">
        <v>55</v>
      </c>
      <c r="I28" s="27" t="s">
        <v>108</v>
      </c>
      <c r="J28" s="27" t="s">
        <v>177</v>
      </c>
      <c r="K28" s="27" t="s">
        <v>138</v>
      </c>
      <c r="L28" s="30" t="s">
        <v>178</v>
      </c>
    </row>
  </sheetData>
  <mergeCells count="1">
    <mergeCell ref="F4:G4"/>
  </mergeCells>
  <hyperlinks>
    <hyperlink r:id="rId1" ref="L11"/>
    <hyperlink r:id="rId2" ref="L12"/>
    <hyperlink r:id="rId3" ref="L13"/>
    <hyperlink r:id="rId4" ref="L14"/>
    <hyperlink r:id="rId5" ref="L15"/>
    <hyperlink r:id="rId6" ref="L16"/>
    <hyperlink r:id="rId7" ref="L22"/>
    <hyperlink r:id="rId8" ref="L23"/>
    <hyperlink r:id="rId9" ref="L24"/>
    <hyperlink r:id="rId10" ref="L25"/>
    <hyperlink r:id="rId11" ref="L26"/>
    <hyperlink r:id="rId12" ref="L27"/>
    <hyperlink r:id="rId13" ref="L28"/>
  </hyperlinks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2026-08-13T23:17:44Z</dcterms:created>
  <dc:creator>Federico Martin Rodriguez</dc:creator>
</cp:coreProperties>
</file>