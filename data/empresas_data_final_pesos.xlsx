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" sheetId="1" state="visible" r:id="rId1"/>
    <sheet xmlns:r="http://schemas.openxmlformats.org/officeDocument/2006/relationships" name="cliente" sheetId="2" state="visible" r:id="rId2"/>
  </sheets>
  <definedNames>
    <definedName name="_xlnm._FilterDatabase" localSheetId="0" hidden="1">'data'!$A$2:$AU$51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_(&quot;$&quot;\ * #,##0.00_);_(&quot;$&quot;\ * \(#,##0.00\);_(&quot;$&quot;\ * &quot;-&quot;??_);_(@_)"/>
    <numFmt numFmtId="166" formatCode="d-mmmm-yy"/>
  </numFmts>
  <fonts count="17">
    <font>
      <name val="Aptos Narrow"/>
      <color theme="1"/>
      <sz val="12"/>
      <scheme val="minor"/>
    </font>
    <font>
      <name val="Arial"/>
      <b val="1"/>
      <color theme="1"/>
    </font>
    <font>
      <name val="Arial"/>
      <b val="1"/>
      <color rgb="FF000000"/>
      <sz val="11"/>
    </font>
    <font>
      <name val="Arial"/>
      <color rgb="FF000000"/>
      <sz val="11"/>
    </font>
    <font>
      <name val="Arial"/>
      <color theme="1"/>
    </font>
    <font>
      <name val="&quot;Aptos Narrow&quot;"/>
      <b val="1"/>
      <color rgb="FF000000"/>
      <sz val="11"/>
    </font>
    <font>
      <name val="&quot;Aptos Narrow&quot;"/>
      <color rgb="FF000000"/>
      <sz val="11"/>
    </font>
    <font>
      <name val="&quot;Aptos Narrow&quot;"/>
      <color rgb="FF0000FF"/>
      <sz val="11"/>
      <u val="single"/>
    </font>
    <font>
      <name val="Aptos Narrow"/>
      <color theme="1"/>
      <sz val="12"/>
    </font>
    <font/>
    <font>
      <name val="Arial"/>
      <color theme="1"/>
      <sz val="12"/>
    </font>
    <font>
      <name val="Aptos Narrow"/>
      <b val="1"/>
      <i val="1"/>
      <color theme="1"/>
      <sz val="12"/>
    </font>
    <font>
      <name val="Arial"/>
      <b val="1"/>
      <i val="1"/>
      <color theme="1"/>
      <sz val="12"/>
    </font>
    <font>
      <name val="Aptos Narrow"/>
      <color theme="1"/>
      <scheme val="minor"/>
    </font>
    <font>
      <name val="&quot;Aptos Narrow&quot;"/>
      <color rgb="FF000000"/>
      <sz val="11"/>
      <u val="single"/>
    </font>
    <font>
      <name val="MorningstarIntrinsic"/>
      <color rgb="FF1A1918"/>
      <sz val="12"/>
    </font>
    <font>
      <name val="Arial"/>
      <color rgb="FF1A1918"/>
      <sz val="12"/>
    </font>
  </fonts>
  <fills count="7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numFmtId="0" fontId="0" fillId="0" borderId="0"/>
  </cellStyleXfs>
  <cellXfs count="5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horizontal="left" wrapText="1"/>
    </xf>
    <xf numFmtId="0" fontId="3" fillId="0" borderId="0" applyAlignment="1" pivotButton="0" quotePrefix="0" xfId="0">
      <alignment horizontal="left" wrapText="1"/>
    </xf>
    <xf numFmtId="0" fontId="4" fillId="0" borderId="0" pivotButton="0" quotePrefix="0" xfId="0"/>
    <xf numFmtId="9" fontId="4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164" fontId="4" fillId="0" borderId="0" pivotButton="0" quotePrefix="0" xfId="0"/>
    <xf numFmtId="0" fontId="5" fillId="0" borderId="1" applyAlignment="1" pivotButton="0" quotePrefix="0" xfId="0">
      <alignment horizontal="center"/>
    </xf>
    <xf numFmtId="0" fontId="5" fillId="0" borderId="1" applyAlignment="1" pivotButton="0" quotePrefix="0" xfId="0">
      <alignment vertical="bottom"/>
    </xf>
    <xf numFmtId="0" fontId="6" fillId="0" borderId="1" applyAlignment="1" pivotButton="0" quotePrefix="0" xfId="0">
      <alignment horizontal="center"/>
    </xf>
    <xf numFmtId="0" fontId="6" fillId="0" borderId="1" applyAlignment="1" pivotButton="0" quotePrefix="0" xfId="0">
      <alignment vertical="bottom"/>
    </xf>
    <xf numFmtId="10" fontId="6" fillId="0" borderId="1" applyAlignment="1" pivotButton="0" quotePrefix="0" xfId="0">
      <alignment horizontal="right" vertical="bottom"/>
    </xf>
    <xf numFmtId="0" fontId="7" fillId="0" borderId="1" pivotButton="0" quotePrefix="0" xfId="0"/>
    <xf numFmtId="15" fontId="6" fillId="0" borderId="1" applyAlignment="1" pivotButton="0" quotePrefix="0" xfId="0">
      <alignment horizontal="right" vertical="bottom"/>
    </xf>
    <xf numFmtId="0" fontId="6" fillId="0" borderId="1" applyAlignment="1" pivotButton="0" quotePrefix="0" xfId="0">
      <alignment horizontal="right" vertical="bottom"/>
    </xf>
    <xf numFmtId="0" fontId="8" fillId="2" borderId="2" applyAlignment="1" pivotButton="0" quotePrefix="0" xfId="0">
      <alignment horizontal="center"/>
    </xf>
    <xf numFmtId="0" fontId="9" fillId="0" borderId="3" pivotButton="0" quotePrefix="0" xfId="0"/>
    <xf numFmtId="0" fontId="9" fillId="0" borderId="4" pivotButton="0" quotePrefix="0" xfId="0"/>
    <xf numFmtId="0" fontId="8" fillId="0" borderId="0" applyAlignment="1" pivotButton="0" quotePrefix="0" xfId="0">
      <alignment horizontal="center"/>
    </xf>
    <xf numFmtId="0" fontId="10" fillId="3" borderId="0" applyAlignment="1" pivotButton="0" quotePrefix="0" xfId="0">
      <alignment horizontal="center"/>
    </xf>
    <xf numFmtId="0" fontId="10" fillId="4" borderId="0" applyAlignment="1" pivotButton="0" quotePrefix="0" xfId="0">
      <alignment horizontal="center"/>
    </xf>
    <xf numFmtId="0" fontId="10" fillId="5" borderId="0" applyAlignment="1" pivotButton="0" quotePrefix="0" xfId="0">
      <alignment horizontal="center"/>
    </xf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3" fontId="13" fillId="0" borderId="0" pivotButton="0" quotePrefix="0" xfId="0"/>
    <xf numFmtId="0" fontId="6" fillId="0" borderId="0" applyAlignment="1" pivotButton="0" quotePrefix="0" xfId="0">
      <alignment vertical="bottom"/>
    </xf>
    <xf numFmtId="0" fontId="13" fillId="0" borderId="0" pivotButton="0" quotePrefix="0" xfId="0"/>
    <xf numFmtId="0" fontId="8" fillId="0" borderId="0" applyAlignment="1" pivotButton="0" quotePrefix="0" xfId="0">
      <alignment horizontal="right" vertical="bottom"/>
    </xf>
    <xf numFmtId="0" fontId="14" fillId="0" borderId="0" applyAlignment="1" pivotButton="0" quotePrefix="0" xfId="0">
      <alignment vertical="bottom"/>
    </xf>
    <xf numFmtId="15" fontId="6" fillId="0" borderId="0" applyAlignment="1" pivotButton="0" quotePrefix="0" xfId="0">
      <alignment horizontal="right" vertical="bottom"/>
    </xf>
    <xf numFmtId="10" fontId="8" fillId="0" borderId="0" pivotButton="0" quotePrefix="0" xfId="0"/>
    <xf numFmtId="0" fontId="8" fillId="0" borderId="0" pivotButton="0" quotePrefix="0" xfId="0"/>
    <xf numFmtId="165" fontId="8" fillId="0" borderId="0" pivotButton="0" quotePrefix="0" xfId="0"/>
    <xf numFmtId="165" fontId="15" fillId="6" borderId="0" pivotButton="0" quotePrefix="0" xfId="0"/>
    <xf numFmtId="166" fontId="6" fillId="0" borderId="0" applyAlignment="1" pivotButton="0" quotePrefix="0" xfId="0">
      <alignment horizontal="right" vertical="bottom"/>
    </xf>
    <xf numFmtId="0" fontId="10" fillId="0" borderId="0" pivotButton="0" quotePrefix="0" xfId="0"/>
    <xf numFmtId="165" fontId="10" fillId="0" borderId="0" pivotButton="0" quotePrefix="0" xfId="0"/>
    <xf numFmtId="2" fontId="10" fillId="0" borderId="0" applyAlignment="1" pivotButton="0" quotePrefix="0" xfId="0">
      <alignment horizontal="right" vertical="bottom"/>
    </xf>
    <xf numFmtId="0" fontId="8" fillId="0" borderId="0" pivotButton="0" quotePrefix="1" xfId="0"/>
    <xf numFmtId="2" fontId="13" fillId="0" borderId="0" pivotButton="0" quotePrefix="0" xfId="0"/>
    <xf numFmtId="0" fontId="10" fillId="0" borderId="0" applyAlignment="1" pivotButton="0" quotePrefix="0" xfId="0">
      <alignment horizontal="right" vertical="bottom"/>
    </xf>
    <xf numFmtId="2" fontId="4" fillId="0" borderId="0" pivotButton="0" quotePrefix="0" xfId="0"/>
    <xf numFmtId="165" fontId="16" fillId="6" borderId="0" pivotButton="0" quotePrefix="0" xfId="0"/>
    <xf numFmtId="0" fontId="0" fillId="0" borderId="0" pivotButton="0" quotePrefix="0" xfId="0"/>
    <xf numFmtId="0" fontId="8" fillId="2" borderId="5" applyAlignment="1" pivotButton="0" quotePrefix="0" xfId="0">
      <alignment horizontal="center"/>
    </xf>
    <xf numFmtId="165" fontId="8" fillId="0" borderId="0" pivotButton="0" quotePrefix="0" xfId="0"/>
    <xf numFmtId="165" fontId="15" fillId="6" borderId="0" pivotButton="0" quotePrefix="0" xfId="0"/>
    <xf numFmtId="165" fontId="10" fillId="0" borderId="0" pivotButton="0" quotePrefix="0" xfId="0"/>
    <xf numFmtId="165" fontId="16" fillId="6" borderId="0" pivotButton="0" quotePrefix="0" xfId="0"/>
    <xf numFmtId="15" fontId="6" fillId="0" borderId="1" applyAlignment="1" pivotButton="0" quotePrefix="0" xfId="0">
      <alignment horizontal="right" vertical="bottom"/>
    </xf>
    <xf numFmtId="15" fontId="6" fillId="0" borderId="0" applyAlignment="1" pivotButton="0" quotePrefix="0" xfId="0">
      <alignment horizontal="right" vertical="bottom"/>
    </xf>
    <xf numFmtId="166" fontId="6" fillId="0" borderId="0" applyAlignment="1" pivotButton="0" quotePrefix="0" xfId="0">
      <alignment horizontal="right"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None</author>
  </authors>
  <commentList>
    <comment ref="R2" authorId="0" shapeId="0">
      <text>
        <t>======
ID#AAACFEHkewI
tc={0AC45323-61E0-E24C-AB1E-4FC573A1FB5F}    (2026-08-25 22:29:31)
[Threaded comment]
Your version of Excel allows you to read this threaded comment; however, any edits to it will get removed if the file is opened in a newer version of Excel. Learn more: https://go.microsoft.com/fwlink/?linkid=870924
Comment:
    Beta is a measure of an investment’s volatility relative to the market as represented by a benchmark. For funds, the benchmark is the category average. For stocks, the benchmark is the Morningstar Index.</t>
      </text>
    </comment>
    <comment ref="S2" authorId="0" shapeId="0">
      <text>
        <t>======
ID#AAACFEHkewc
tc={03FEA1E7-57C8-3A4F-AADE-D5A482FA6F33}    (2026-08-25 22:29:31)
[Threaded comment]
Your version of Excel allows you to read this threaded comment; however, any edits to it will get removed if the file is opened in a newer version of Excel. Learn more: https://go.microsoft.com/fwlink/?linkid=870924
Comment:
    https://www.morningstar.com/stocks/xnys/sii/trailing-returns</t>
      </text>
    </comment>
    <comment ref="Z2" authorId="0" shapeId="0">
      <text>
        <t>======
ID#AAACFEHkewM
tc={61F66668-3626-6A47-AC1F-6D2EB04E2D24}    (2026-08-25 22:29:31)
[Threaded comment]
Your version of Excel allows you to read this threaded comment; however, any edits to it will get removed if the file is opened in a newer version of Excel. Learn more: https://go.microsoft.com/fwlink/?linkid=870924
Comment:
    clase 2
Ejemplos de empresas y EPSgrowthPerpetuo
4% - KO
5% - AAPL
6% - META
7% - GOOGL
8% - NVDA</t>
      </text>
    </comment>
    <comment ref="AE2" authorId="0" shapeId="0">
      <text>
        <t>======
ID#AAACFEHkewQ
tc={F2BFD84C-AF15-BD4A-ABC2-77AB38CC9177}    (2026-08-25 22:29:31)
[Threaded comment]
Your version of Excel allows you to read this threaded comment; however, any edits to it will get removed if the file is opened in a newer version of Excel. Learn more: https://go.microsoft.com/fwlink/?linkid=870924
Comment:
    CAGR teorico que obtendria invertiendo en la empresa, cuanto obtengo por año promedio hasta que revierta el precio hasta el P/E</t>
      </text>
    </comment>
    <comment ref="P8" authorId="0" shapeId="0">
      <text>
        <t>======
ID#AAACFEHkewY
tc={5F5F15BF-E90F-A244-9C01-B1E32CEB63FB}    (2026-08-25 22:29:31)
[Threaded comment]
Your version of Excel allows you to read this threaded comment; however, any edits to it will get removed if the file is opened in a newer version of Excel. Learn more: https://go.microsoft.com/fwlink/?linkid=870924
Comment:
    recien tiene 2 años con ganancia</t>
      </text>
    </comment>
    <comment ref="R8" authorId="0" shapeId="0">
      <text>
        <t>======
ID#AAACFEHkewE
tc={4E10DC8C-75DB-2243-9091-5187A3A80829}    (2026-08-25 22:29:31)
[Threaded comment]
Your version of Excel allows you to read this threaded comment; however, any edits to it will get removed if the file is opened in a newer version of Excel. Learn more: https://go.microsoft.com/fwlink/?linkid=870924
Comment:
    ultimos 3 años, mensual</t>
      </text>
    </comment>
    <comment ref="P10" authorId="0" shapeId="0">
      <text>
        <t>======
ID#AAACFEHkewU
tc={AE9DB7C4-763B-F94D-A6F1-9F7517CD7028}    (2026-08-25 22:29:31)
[Threaded comment]
Your version of Excel allows you to read this threaded comment; however, any edits to it will get removed if the file is opened in a newer version of Excel. Learn more: https://go.microsoft.com/fwlink/?linkid=870924
Comment:
    recien tiene 2 años con ganancia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hyperlink" Target="https://www.sec.gov/cgi-bin/browse-edgar?action=getcompany&amp;company=tsmc+arizona&amp;type=424B5&amp;dateb=&amp;owner=include&amp;count=40" TargetMode="External" Id="rId1"/><Relationship Type="http://schemas.openxmlformats.org/officeDocument/2006/relationships/hyperlink" Target="https://www.sec.gov/Archives/edgar/data/319201/000119312522177796/d311787dfwp.htm" TargetMode="External" Id="rId2"/><Relationship Type="http://schemas.openxmlformats.org/officeDocument/2006/relationships/hyperlink" Target="https://www.sec.gov/cgi-bin/browse-edgar?action=getcompany&amp;CIK=756894&amp;type=424B&amp;dateb=&amp;owner=include&amp;count=100" TargetMode="External" Id="rId3"/><Relationship Type="http://schemas.openxmlformats.org/officeDocument/2006/relationships/hyperlink" Target="https://www.sec.gov/Archives/edgar/data/1065280/000114036124035134/ny20032950x4_424b5.htm" TargetMode="External" Id="rId4"/><Relationship Type="http://schemas.openxmlformats.org/officeDocument/2006/relationships/hyperlink" Target="https://www.sec.gov/cgi-bin/browse-edgar?action=getcompany&amp;CIK=1035002&amp;type=424B&amp;dateb=&amp;owner=include&amp;count=100" TargetMode="External" Id="rId5"/><Relationship Type="http://schemas.openxmlformats.org/officeDocument/2006/relationships/hyperlink" Target="https://www.sec.gov/Archives/edgar/data/723125/000110465923042888/tm2311342-3_424b5.htm" TargetMode="External" Id="rId6"/><Relationship Type="http://schemas.openxmlformats.org/officeDocument/2006/relationships/hyperlink" Target="https://www.sec.gov/Archives/edgar/data/320193/000119312519238922/d751814d424b2.htm" TargetMode="External" Id="rId7"/><Relationship Type="http://schemas.openxmlformats.org/officeDocument/2006/relationships/hyperlink" Target="https://www.sec.gov/cgi-bin/browse-edgar?action=getcompany&amp;CIK=0000093410&amp;type=424B&amp;count=100" TargetMode="External" Id="rId8"/><Relationship Type="http://schemas.openxmlformats.org/officeDocument/2006/relationships/hyperlink" Target="https://www.sec.gov/cgi-bin/browse-edgar?action=getcompany&amp;CIK=0000019617&amp;type=424B&amp;count=100" TargetMode="External" Id="rId9"/><Relationship Type="http://schemas.openxmlformats.org/officeDocument/2006/relationships/hyperlink" Target="https://www.sec.gov/cgi-bin/browse-edgar?action=getcompany&amp;CIK=0000021344&amp;type=424B&amp;count=100" TargetMode="External" Id="rId10"/><Relationship Type="http://schemas.openxmlformats.org/officeDocument/2006/relationships/hyperlink" Target="https://www.sec.gov/Archives/edgar/data/320193/000114036123023700/ny20007635x3_424b2.htm" TargetMode="External" Id="rId11"/><Relationship Type="http://schemas.openxmlformats.org/officeDocument/2006/relationships/hyperlink" Target="https://www.sec.gov/cgi-bin/browse-edgar?action=getcompany&amp;CIK=0001166691&amp;type=424B&amp;count=100" TargetMode="External" Id="rId12"/><Relationship Type="http://schemas.openxmlformats.org/officeDocument/2006/relationships/hyperlink" Target="https://www.sec.gov/cgi-bin/browse-edgar?action=getcompany&amp;CIK=0001341439&amp;type=424B&amp;count=100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61"/>
  <sheetViews>
    <sheetView workbookViewId="0">
      <pane xSplit="3" topLeftCell="D1" activePane="topRight" state="frozen"/>
      <selection pane="topRight" activeCell="E2" sqref="E2"/>
    </sheetView>
  </sheetViews>
  <sheetFormatPr baseColWidth="8" defaultColWidth="11.22" defaultRowHeight="15" customHeight="1"/>
  <cols>
    <col width="6.78" customWidth="1" style="45" min="1" max="1"/>
    <col width="36" customWidth="1" style="45" min="2" max="2"/>
    <col width="21.67" customWidth="1" style="45" min="3" max="3"/>
    <col width="32.67" customWidth="1" style="45" min="4" max="4"/>
    <col width="10.56" customWidth="1" style="45" min="5" max="5"/>
    <col width="11.33" customWidth="1" style="45" min="6" max="6"/>
    <col width="6.11" customWidth="1" style="45" min="7" max="7"/>
    <col width="7.11" customWidth="1" style="45" min="8" max="8"/>
    <col width="9.779999999999999" customWidth="1" style="45" min="9" max="9"/>
    <col width="10.11" customWidth="1" style="45" min="10" max="10"/>
    <col width="34.67" customWidth="1" style="45" min="11" max="11"/>
    <col width="16.11" customWidth="1" style="45" min="12" max="12"/>
    <col width="16.78" customWidth="1" style="45" min="13" max="13"/>
    <col width="9.779999999999999" customWidth="1" style="45" min="14" max="14"/>
    <col width="14.11" customWidth="1" style="45" min="15" max="15"/>
    <col width="11.11" customWidth="1" style="45" min="16" max="16"/>
    <col width="12.33" customWidth="1" style="45" min="17" max="17"/>
    <col width="8.44" customWidth="1" style="45" min="18" max="18"/>
    <col width="25.78" customWidth="1" style="45" min="19" max="19"/>
    <col width="9.67" customWidth="1" style="45" min="20" max="20"/>
    <col width="15.67" customWidth="1" style="45" min="21" max="21"/>
    <col width="9" customWidth="1" style="45" min="22" max="22"/>
    <col width="11" customWidth="1" style="45" min="23" max="24"/>
    <col width="9" customWidth="1" style="45" min="25" max="25"/>
    <col width="18.11" customWidth="1" style="45" min="26" max="26"/>
    <col width="8.109999999999999" customWidth="1" style="45" min="27" max="27"/>
    <col width="12.44" customWidth="1" style="45" min="28" max="28"/>
    <col width="10.11" customWidth="1" style="45" min="29" max="29"/>
    <col width="17.11" customWidth="1" style="45" min="30" max="30"/>
    <col width="18.78" customWidth="1" style="45" min="31" max="32"/>
    <col width="8.109999999999999" customWidth="1" style="45" min="33" max="33"/>
    <col width="13" customWidth="1" style="45" min="34" max="34"/>
    <col width="11" customWidth="1" style="45" min="35" max="36"/>
    <col width="10.22" customWidth="1" style="45" min="37" max="37"/>
    <col width="14.56" customWidth="1" style="45" min="38" max="47"/>
  </cols>
  <sheetData>
    <row r="1" ht="15.75" customHeight="1" s="45">
      <c r="Z1" s="46" t="inlineStr">
        <is>
          <t>Modelo de Grinold Kroner</t>
        </is>
      </c>
      <c r="AG1" s="19" t="inlineStr">
        <is>
          <t>Model Ben Graham</t>
        </is>
      </c>
      <c r="AK1" s="20" t="inlineStr">
        <is>
          <t>Morningstar</t>
        </is>
      </c>
      <c r="AN1" s="21" t="inlineStr">
        <is>
          <t>RRF</t>
        </is>
      </c>
      <c r="AP1" s="21" t="inlineStr">
        <is>
          <t>Borda</t>
        </is>
      </c>
      <c r="AR1" s="21" t="inlineStr">
        <is>
          <t>Copeland</t>
        </is>
      </c>
      <c r="AT1" s="22" t="inlineStr">
        <is>
          <t>Final</t>
        </is>
      </c>
    </row>
    <row r="2" ht="15.75" customHeight="1" s="45">
      <c r="A2" s="23" t="inlineStr">
        <is>
          <t>Ticker</t>
        </is>
      </c>
      <c r="B2" s="23" t="inlineStr">
        <is>
          <t>Company</t>
        </is>
      </c>
      <c r="C2" s="23" t="inlineStr">
        <is>
          <t>Sector</t>
        </is>
      </c>
      <c r="D2" s="23" t="inlineStr">
        <is>
          <t>Industry</t>
        </is>
      </c>
      <c r="E2" s="23" t="inlineStr">
        <is>
          <t>Country</t>
        </is>
      </c>
      <c r="F2" s="23" t="inlineStr">
        <is>
          <t>Market Cap</t>
        </is>
      </c>
      <c r="G2" s="23" t="inlineStr">
        <is>
          <t>P/E</t>
        </is>
      </c>
      <c r="H2" s="23" t="inlineStr">
        <is>
          <t>Price</t>
        </is>
      </c>
      <c r="I2" s="23" t="inlineStr">
        <is>
          <t>Change %</t>
        </is>
      </c>
      <c r="J2" s="23" t="inlineStr">
        <is>
          <t>Volume</t>
        </is>
      </c>
      <c r="K2" s="23" t="inlineStr">
        <is>
          <t>Ratio de aplancamiento (Debt to Equity)</t>
        </is>
      </c>
      <c r="L2" s="23" t="inlineStr">
        <is>
          <t>Interest Coverage</t>
        </is>
      </c>
      <c r="M2" s="23" t="inlineStr">
        <is>
          <t>Tier 1 Capital ratio</t>
        </is>
      </c>
      <c r="N2" s="23" t="inlineStr">
        <is>
          <t>DivY%L5Y</t>
        </is>
      </c>
      <c r="O2" s="23" t="inlineStr">
        <is>
          <t>BuybackY%L5Y</t>
        </is>
      </c>
      <c r="P2" s="23" t="inlineStr">
        <is>
          <t>EPSgVALUE</t>
        </is>
      </c>
      <c r="Q2" s="23" t="inlineStr">
        <is>
          <t>EPSgPERIOD</t>
        </is>
      </c>
      <c r="R2" s="23" t="inlineStr">
        <is>
          <t>BetaL5Y</t>
        </is>
      </c>
      <c r="S2" s="23" t="inlineStr">
        <is>
          <t>Index</t>
        </is>
      </c>
      <c r="T2" s="23" t="inlineStr">
        <is>
          <t>ERM L15Y</t>
        </is>
      </c>
      <c r="U2" s="23" t="inlineStr">
        <is>
          <t>BetaL5Y YF (SPY)</t>
        </is>
      </c>
      <c r="V2" s="23" t="inlineStr">
        <is>
          <t>ERM SPY</t>
        </is>
      </c>
      <c r="W2" s="23" t="inlineStr">
        <is>
          <t>DilutedEPS</t>
        </is>
      </c>
      <c r="X2" s="23" t="inlineStr">
        <is>
          <t>CurrentP/E</t>
        </is>
      </c>
      <c r="Y2" s="23" t="inlineStr">
        <is>
          <t>RiskFree</t>
        </is>
      </c>
      <c r="Z2" s="23" t="inlineStr">
        <is>
          <t>EPSgrowthPerpetuo</t>
        </is>
      </c>
      <c r="AA2" s="23" t="inlineStr">
        <is>
          <t>Ke</t>
        </is>
      </c>
      <c r="AB2" s="23" t="inlineStr">
        <is>
          <t>P/E Perpetuo</t>
        </is>
      </c>
      <c r="AC2" s="23" t="inlineStr">
        <is>
          <t>delta(P/E)</t>
        </is>
      </c>
      <c r="AD2" s="23" t="inlineStr">
        <is>
          <t>años hasta revertir</t>
        </is>
      </c>
      <c r="AE2" s="23" t="inlineStr">
        <is>
          <t>CAGR GrinoldKroner</t>
        </is>
      </c>
      <c r="AF2" s="24" t="inlineStr">
        <is>
          <t>RANKING</t>
        </is>
      </c>
      <c r="AG2" s="23" t="inlineStr">
        <is>
          <t>AAA10y</t>
        </is>
      </c>
      <c r="AH2" s="23" t="inlineStr">
        <is>
          <t>Valor Graham</t>
        </is>
      </c>
      <c r="AI2" s="24" t="inlineStr">
        <is>
          <t>Diff Graham</t>
        </is>
      </c>
      <c r="AJ2" s="24" t="inlineStr">
        <is>
          <t>RANKING</t>
        </is>
      </c>
      <c r="AK2" s="24" t="inlineStr">
        <is>
          <t>Fair Value</t>
        </is>
      </c>
      <c r="AL2" s="24" t="inlineStr">
        <is>
          <t>Diff Morningstar</t>
        </is>
      </c>
      <c r="AM2" s="24" t="inlineStr">
        <is>
          <t>RANKING</t>
        </is>
      </c>
      <c r="AN2" s="24" t="inlineStr">
        <is>
          <t>RANKINGFinal</t>
        </is>
      </c>
      <c r="AO2" s="24" t="inlineStr">
        <is>
          <t>RANKING</t>
        </is>
      </c>
      <c r="AP2" s="24" t="inlineStr">
        <is>
          <t>RANKINGFinal</t>
        </is>
      </c>
      <c r="AQ2" s="24" t="inlineStr">
        <is>
          <t>RANKING</t>
        </is>
      </c>
      <c r="AR2" s="24" t="inlineStr">
        <is>
          <t>RANKINGFinal</t>
        </is>
      </c>
      <c r="AS2" s="24" t="inlineStr">
        <is>
          <t>RANKING</t>
        </is>
      </c>
      <c r="AT2" s="24" t="inlineStr">
        <is>
          <t>RANKINGFinal</t>
        </is>
      </c>
      <c r="AU2" s="24" t="inlineStr">
        <is>
          <t>Peso en Cartera</t>
        </is>
      </c>
    </row>
    <row r="3" ht="15.75" customHeight="1" s="45">
      <c r="A3" s="28" t="inlineStr">
        <is>
          <t>RDDT</t>
        </is>
      </c>
      <c r="B3" s="28" t="inlineStr">
        <is>
          <t>Reddit Inc</t>
        </is>
      </c>
      <c r="C3" s="28" t="inlineStr">
        <is>
          <t>Communication Services</t>
        </is>
      </c>
      <c r="D3" s="28" t="inlineStr">
        <is>
          <t>Internet Content &amp; Information</t>
        </is>
      </c>
      <c r="E3" s="28" t="inlineStr">
        <is>
          <t>USA</t>
        </is>
      </c>
      <c r="F3" s="28" t="inlineStr">
        <is>
          <t>30.42B</t>
        </is>
      </c>
      <c r="G3" s="28" t="inlineStr">
        <is>
          <t>36,76</t>
        </is>
      </c>
      <c r="H3" s="28" t="n">
        <v>158.12</v>
      </c>
      <c r="I3" s="28" t="inlineStr">
        <is>
          <t>3,04%</t>
        </is>
      </c>
      <c r="J3" s="26" t="n">
        <v>4537574</v>
      </c>
      <c r="K3" s="28" t="n">
        <v>0.01</v>
      </c>
      <c r="L3" s="4" t="n">
        <v>0</v>
      </c>
      <c r="M3" s="28" t="inlineStr">
        <is>
          <t>N/A</t>
        </is>
      </c>
      <c r="N3" s="28" t="n">
        <v>0</v>
      </c>
      <c r="O3" s="28" t="n">
        <v>0.7</v>
      </c>
      <c r="P3" s="28" t="n">
        <v>177.78</v>
      </c>
      <c r="Q3" s="28" t="inlineStr">
        <is>
          <t>Promedio en 1 año</t>
        </is>
      </c>
      <c r="R3" s="29" t="n">
        <v>1.8</v>
      </c>
      <c r="U3" s="28">
        <f>IF(E3="USA",R3,"completar")</f>
        <v/>
      </c>
      <c r="V3" s="28" t="n">
        <v>10</v>
      </c>
      <c r="W3" s="29" t="n">
        <v>5.95</v>
      </c>
      <c r="X3" s="29" t="n">
        <v>41.41</v>
      </c>
      <c r="Y3" s="28" t="n">
        <v>4.63</v>
      </c>
      <c r="Z3" s="4">
        <f>VLOOKUP(C3,$C$53:$D$61,2,0)</f>
        <v/>
      </c>
      <c r="AA3" s="28">
        <f>Y3+U3*(V3-Y3)</f>
        <v/>
      </c>
      <c r="AB3" s="28">
        <f>1/((AA3-Z3)/100)</f>
        <v/>
      </c>
      <c r="AC3" s="32">
        <f>(AB3/X3)^(1/AD3)-1</f>
        <v/>
      </c>
      <c r="AD3" s="4" t="n">
        <v>7</v>
      </c>
      <c r="AE3" s="32">
        <f>N3/100+P3/100+O3/100+AC3</f>
        <v/>
      </c>
      <c r="AF3" s="33">
        <f>RANK(AE3,AE$3:AE$51)</f>
        <v/>
      </c>
      <c r="AG3" s="28">
        <f>1.16+Y3</f>
        <v/>
      </c>
      <c r="AH3" s="47">
        <f>W3*(8.5+2*P3)*4.4/AG3</f>
        <v/>
      </c>
      <c r="AI3" s="32">
        <f>AH3/$H3-1</f>
        <v/>
      </c>
      <c r="AJ3" s="33">
        <f>RANK(AI3,AI$3:AI$51)</f>
        <v/>
      </c>
      <c r="AK3" s="48" t="n">
        <v>200</v>
      </c>
      <c r="AL3" s="32">
        <f>AK3/$H3-1</f>
        <v/>
      </c>
      <c r="AM3" s="33">
        <f>RANK(AL3,AL$3:AL$51)</f>
        <v/>
      </c>
      <c r="AN3" s="33">
        <f>1/(60+AF3)+1/(60+AJ3)+1/(60+AM3)</f>
        <v/>
      </c>
      <c r="AO3" s="33">
        <f>RANK(AN3,AN$3:AN$51)</f>
        <v/>
      </c>
      <c r="AP3" s="33">
        <f>(49-AF3)+(49-AJ3)+(49-AM3)</f>
        <v/>
      </c>
      <c r="AQ3" s="33">
        <f>RANK(AP3,AP$3:AP$51)</f>
        <v/>
      </c>
      <c r="AR3" s="33">
        <f>SUMPRODUCT(--(((AF3&lt;$AF$3:$AF$51)+(AJ3&lt;$AJ$3:$AJ$51)+(AM3&lt;$AM$3:$AM$51))&gt;=2))
-SUMPRODUCT(--(((AF3&gt;$AF$3:$AF$51)+(AJ3&gt;$AJ$3:$AJ$51)+(AM3&gt;$AM$3:$AM$51))&gt;=2))</f>
        <v/>
      </c>
      <c r="AS3" s="33">
        <f>RANK(AR3,AR$3:AR$51)</f>
        <v/>
      </c>
      <c r="AT3" s="33" t="n">
        <v>1</v>
      </c>
      <c r="AU3" s="33" t="n">
        <v>4.1637306059901e-09</v>
      </c>
    </row>
    <row r="4" ht="15.75" customHeight="1" s="45">
      <c r="A4" s="28" t="inlineStr">
        <is>
          <t>RELY</t>
        </is>
      </c>
      <c r="B4" s="28" t="inlineStr">
        <is>
          <t>Remitly Global Inc</t>
        </is>
      </c>
      <c r="C4" s="28" t="inlineStr">
        <is>
          <t>Technology</t>
        </is>
      </c>
      <c r="D4" s="28" t="inlineStr">
        <is>
          <t>Software - Infrastructure</t>
        </is>
      </c>
      <c r="E4" s="28" t="inlineStr">
        <is>
          <t>USA</t>
        </is>
      </c>
      <c r="F4" s="28" t="inlineStr">
        <is>
          <t>5.42B</t>
        </is>
      </c>
      <c r="G4" s="28" t="inlineStr">
        <is>
          <t>18,44</t>
        </is>
      </c>
      <c r="H4" s="28" t="n">
        <v>25.62</v>
      </c>
      <c r="I4" s="28" t="inlineStr">
        <is>
          <t>5,74%</t>
        </is>
      </c>
      <c r="J4" s="26" t="n">
        <v>3243122</v>
      </c>
      <c r="K4" s="28" t="n">
        <v>0.03</v>
      </c>
      <c r="L4" s="28" t="n">
        <v>16.44</v>
      </c>
      <c r="M4" s="28" t="inlineStr">
        <is>
          <t>N/A</t>
        </is>
      </c>
      <c r="N4" s="28" t="n">
        <v>0</v>
      </c>
      <c r="O4" s="28" t="n">
        <v>0.43</v>
      </c>
      <c r="P4" s="4" t="n">
        <v>300</v>
      </c>
      <c r="Q4" s="28" t="inlineStr">
        <is>
          <t>Promedio en 1 año</t>
        </is>
      </c>
      <c r="R4" s="29" t="n">
        <v>1.78</v>
      </c>
      <c r="U4" s="28">
        <f>IF(E4="USA",R4,"completar")</f>
        <v/>
      </c>
      <c r="V4" s="28" t="n">
        <v>10</v>
      </c>
      <c r="W4" s="29" t="n">
        <v>1.91</v>
      </c>
      <c r="X4" s="29" t="n">
        <v>18.93</v>
      </c>
      <c r="Y4" s="28" t="n">
        <v>4.63</v>
      </c>
      <c r="Z4" s="4">
        <f>VLOOKUP(C4,$C$53:$D$61,2,0)</f>
        <v/>
      </c>
      <c r="AA4" s="28">
        <f>Y4+U4*(V4-Y4)</f>
        <v/>
      </c>
      <c r="AB4" s="28">
        <f>1/((AA4-Z4)/100)</f>
        <v/>
      </c>
      <c r="AC4" s="32">
        <f>(AB4/X4)^(1/AD4)-1</f>
        <v/>
      </c>
      <c r="AD4" s="4" t="n">
        <v>7</v>
      </c>
      <c r="AE4" s="32">
        <f>N4/100+P4/100+O4/100+AC4</f>
        <v/>
      </c>
      <c r="AF4" s="33">
        <f>RANK(AE4,AE$3:AE$51)</f>
        <v/>
      </c>
      <c r="AG4" s="28">
        <f>1.16+Y4</f>
        <v/>
      </c>
      <c r="AH4" s="47">
        <f>W4*(8.5+2*P4)*4.4/AG4</f>
        <v/>
      </c>
      <c r="AI4" s="32">
        <f>AH4/$H4-1</f>
        <v/>
      </c>
      <c r="AJ4" s="33">
        <f>RANK(AI4,AI$3:AI$51)</f>
        <v/>
      </c>
      <c r="AK4" s="48" t="n">
        <v>28.11</v>
      </c>
      <c r="AL4" s="32">
        <f>AK4/$H4-1</f>
        <v/>
      </c>
      <c r="AM4" s="33">
        <f>RANK(AL4,AL$3:AL$51)</f>
        <v/>
      </c>
      <c r="AN4" s="33">
        <f>1/(60+AF4)+1/(60+AJ4)+1/(60+AM4)</f>
        <v/>
      </c>
      <c r="AO4" s="33">
        <f>RANK(AN4,AN$3:AN$51)</f>
        <v/>
      </c>
      <c r="AP4" s="33">
        <f>(49-AF4)+(49-AJ4)+(49-AM4)</f>
        <v/>
      </c>
      <c r="AQ4" s="33">
        <f>RANK(AP4,AP$3:AP$51)</f>
        <v/>
      </c>
      <c r="AR4" s="33">
        <f>SUMPRODUCT(--(((AF4&lt;$AF$3:$AF$51)+(AJ4&lt;$AJ$3:$AJ$51)+(AM4&lt;$AM$3:$AM$51))&gt;=2))
-SUMPRODUCT(--(((AF4&gt;$AF$3:$AF$51)+(AJ4&gt;$AJ$3:$AJ$51)+(AM4&gt;$AM$3:$AM$51))&gt;=2))</f>
        <v/>
      </c>
      <c r="AS4" s="33">
        <f>RANK(AR4,AR$3:AR$51)</f>
        <v/>
      </c>
      <c r="AT4" s="33" t="n">
        <v>2</v>
      </c>
      <c r="AU4" s="33" t="n">
        <v>0.07972317526482185</v>
      </c>
    </row>
    <row r="5" ht="15.75" customHeight="1" s="45">
      <c r="A5" s="28" t="inlineStr">
        <is>
          <t>NU</t>
        </is>
      </c>
      <c r="B5" s="28" t="inlineStr">
        <is>
          <t>Nu Holdings Ltd</t>
        </is>
      </c>
      <c r="C5" s="28" t="inlineStr">
        <is>
          <t>Financial</t>
        </is>
      </c>
      <c r="D5" s="28" t="inlineStr">
        <is>
          <t>Banks - Regional</t>
        </is>
      </c>
      <c r="E5" s="28" t="inlineStr">
        <is>
          <t>Brazil</t>
        </is>
      </c>
      <c r="F5" s="28" t="inlineStr">
        <is>
          <t>67.29B</t>
        </is>
      </c>
      <c r="G5" s="28" t="n">
        <v>21.48</v>
      </c>
      <c r="H5" s="28" t="n">
        <v>13.93</v>
      </c>
      <c r="I5" s="28" t="n">
        <v>273</v>
      </c>
      <c r="J5" s="28" t="inlineStr">
        <is>
          <t>65.149.693</t>
        </is>
      </c>
      <c r="K5" s="28" t="n">
        <v>4.07</v>
      </c>
      <c r="L5" s="28">
        <f>M5</f>
        <v/>
      </c>
      <c r="M5" s="4" t="n">
        <v>13.3</v>
      </c>
      <c r="N5" s="28" t="n">
        <v>0</v>
      </c>
      <c r="O5" s="28" t="n">
        <v>0</v>
      </c>
      <c r="P5" s="28" t="n">
        <v>67.02</v>
      </c>
      <c r="Q5" s="28" t="inlineStr">
        <is>
          <t>3años</t>
        </is>
      </c>
      <c r="R5" s="29" t="n">
        <v>0.61</v>
      </c>
      <c r="U5" s="4" t="n">
        <v>0.9399999999999999</v>
      </c>
      <c r="V5" s="28" t="n">
        <v>10</v>
      </c>
      <c r="W5" s="29" t="n">
        <v>0.73</v>
      </c>
      <c r="X5" s="29" t="n">
        <v>21.48</v>
      </c>
      <c r="Y5" s="28" t="n">
        <v>4.63</v>
      </c>
      <c r="Z5" s="4">
        <f>VLOOKUP(C5,$C$53:$D$61,2,0)</f>
        <v/>
      </c>
      <c r="AA5" s="28">
        <f>Y5+U5*(V5-Y5)</f>
        <v/>
      </c>
      <c r="AB5" s="28">
        <f>1/((AA5-Z5)/100)</f>
        <v/>
      </c>
      <c r="AC5" s="32">
        <f>(AB5/X5)^(1/AD5)-1</f>
        <v/>
      </c>
      <c r="AD5" s="4" t="n">
        <v>7</v>
      </c>
      <c r="AE5" s="32">
        <f>N5/100+P5/100+O5/100+AC5</f>
        <v/>
      </c>
      <c r="AF5" s="33">
        <f>RANK(AE5,AE$3:AE$51)</f>
        <v/>
      </c>
      <c r="AG5" s="28">
        <f>1.16+Y5</f>
        <v/>
      </c>
      <c r="AH5" s="47">
        <f>W5*(8.5+2*P5)*4.4/AG5</f>
        <v/>
      </c>
      <c r="AI5" s="32">
        <f>AH5/$H5-1</f>
        <v/>
      </c>
      <c r="AJ5" s="33">
        <f>RANK(AI5,AI$3:AI$51)</f>
        <v/>
      </c>
      <c r="AK5" s="48" t="n">
        <v>16.6</v>
      </c>
      <c r="AL5" s="32">
        <f>AK5/$H5-1</f>
        <v/>
      </c>
      <c r="AM5" s="33">
        <f>RANK(AL5,AL$3:AL$51)</f>
        <v/>
      </c>
      <c r="AN5" s="33">
        <f>1/(60+AF5)+1/(60+AJ5)+1/(60+AM5)</f>
        <v/>
      </c>
      <c r="AO5" s="33">
        <f>RANK(AN5,AN$3:AN$51)</f>
        <v/>
      </c>
      <c r="AP5" s="33">
        <f>(49-AF5)+(49-AJ5)+(49-AM5)</f>
        <v/>
      </c>
      <c r="AQ5" s="33">
        <f>RANK(AP5,AP$3:AP$51)</f>
        <v/>
      </c>
      <c r="AR5" s="33">
        <f>SUMPRODUCT(--(((AF5&lt;$AF$3:$AF$51)+(AJ5&lt;$AJ$3:$AJ$51)+(AM5&lt;$AM$3:$AM$51))&gt;=2))
-SUMPRODUCT(--(((AF5&gt;$AF$3:$AF$51)+(AJ5&gt;$AJ$3:$AJ$51)+(AM5&gt;$AM$3:$AM$51))&gt;=2))</f>
        <v/>
      </c>
      <c r="AS5" s="33">
        <f>RANK(AR5,AR$3:AR$51)</f>
        <v/>
      </c>
      <c r="AT5" s="33" t="n">
        <v>3</v>
      </c>
      <c r="AU5" s="33" t="n">
        <v>0.03325679334522146</v>
      </c>
    </row>
    <row r="6" ht="15.75" customHeight="1" s="45">
      <c r="A6" s="28" t="inlineStr">
        <is>
          <t>SEZL</t>
        </is>
      </c>
      <c r="B6" s="28" t="inlineStr">
        <is>
          <t>Sezzle Inc</t>
        </is>
      </c>
      <c r="C6" s="28" t="inlineStr">
        <is>
          <t>Financial</t>
        </is>
      </c>
      <c r="D6" s="28" t="inlineStr">
        <is>
          <t>Credit Services</t>
        </is>
      </c>
      <c r="E6" s="28" t="inlineStr">
        <is>
          <t>USA</t>
        </is>
      </c>
      <c r="F6" s="28" t="inlineStr">
        <is>
          <t>4.37B</t>
        </is>
      </c>
      <c r="G6" s="28" t="inlineStr">
        <is>
          <t>28,24</t>
        </is>
      </c>
      <c r="H6" s="28" t="n">
        <v>129.87</v>
      </c>
      <c r="I6" s="28" t="inlineStr">
        <is>
          <t>3,53%</t>
        </is>
      </c>
      <c r="J6" s="26" t="n">
        <v>566144</v>
      </c>
      <c r="K6" s="28" t="n">
        <v>0.52</v>
      </c>
      <c r="L6" s="4" t="n">
        <v>0</v>
      </c>
      <c r="M6" s="28" t="inlineStr">
        <is>
          <t>N/A</t>
        </is>
      </c>
      <c r="N6" s="28" t="n">
        <v>1.54</v>
      </c>
      <c r="O6" s="28" t="n">
        <v>0</v>
      </c>
      <c r="P6" s="28" t="n">
        <v>227.42</v>
      </c>
      <c r="Q6" s="28" t="inlineStr">
        <is>
          <t>Promedio en 3 años</t>
        </is>
      </c>
      <c r="R6" s="29" t="n">
        <v>14.94</v>
      </c>
      <c r="U6" s="28" t="n">
        <v>6.78</v>
      </c>
      <c r="V6" s="28" t="n">
        <v>10</v>
      </c>
      <c r="W6" s="29" t="n">
        <v>4.72</v>
      </c>
      <c r="X6" s="29" t="n">
        <v>28.04</v>
      </c>
      <c r="Y6" s="28" t="n">
        <v>4.63</v>
      </c>
      <c r="Z6" s="4">
        <f>VLOOKUP(C6,$C$53:$D$61,2,0)</f>
        <v/>
      </c>
      <c r="AA6" s="28">
        <f>Y6+U6*(V6-Y6)</f>
        <v/>
      </c>
      <c r="AB6" s="28">
        <f>1/((AA6-Z6)/100)</f>
        <v/>
      </c>
      <c r="AC6" s="32">
        <f>(AB6/X6)^(1/AD6)-1</f>
        <v/>
      </c>
      <c r="AD6" s="4" t="n">
        <v>7</v>
      </c>
      <c r="AE6" s="32">
        <f>N6/100+P6/100+O6/100+AC6</f>
        <v/>
      </c>
      <c r="AF6" s="33">
        <f>RANK(AE6,AE$3:AE$51)</f>
        <v/>
      </c>
      <c r="AG6" s="28">
        <f>1.16+Y6</f>
        <v/>
      </c>
      <c r="AH6" s="47">
        <f>W6*(8.5+2*P6)*4.4/AG6</f>
        <v/>
      </c>
      <c r="AI6" s="32">
        <f>AH6/$H6-1</f>
        <v/>
      </c>
      <c r="AJ6" s="33">
        <f>RANK(AI6,AI$3:AI$51)</f>
        <v/>
      </c>
      <c r="AK6" s="48" t="n">
        <v>120.43</v>
      </c>
      <c r="AL6" s="32">
        <f>AK6/$H6-1</f>
        <v/>
      </c>
      <c r="AM6" s="33">
        <f>RANK(AL6,AL$3:AL$51)</f>
        <v/>
      </c>
      <c r="AN6" s="33">
        <f>1/(60+AF6)+1/(60+AJ6)+1/(60+AM6)</f>
        <v/>
      </c>
      <c r="AO6" s="33">
        <f>RANK(AN6,AN$3:AN$51)</f>
        <v/>
      </c>
      <c r="AP6" s="33">
        <f>(49-AF6)+(49-AJ6)+(49-AM6)</f>
        <v/>
      </c>
      <c r="AQ6" s="33">
        <f>RANK(AP6,AP$3:AP$51)</f>
        <v/>
      </c>
      <c r="AR6" s="33">
        <f>SUMPRODUCT(--(((AF6&lt;$AF$3:$AF$51)+(AJ6&lt;$AJ$3:$AJ$51)+(AM6&lt;$AM$3:$AM$51))&gt;=2))
-SUMPRODUCT(--(((AF6&gt;$AF$3:$AF$51)+(AJ6&gt;$AJ$3:$AJ$51)+(AM6&gt;$AM$3:$AM$51))&gt;=2))</f>
        <v/>
      </c>
      <c r="AS6" s="33">
        <f>RANK(AR6,AR$3:AR$51)</f>
        <v/>
      </c>
      <c r="AT6" s="33" t="n">
        <v>4</v>
      </c>
      <c r="AU6" s="33" t="n">
        <v>8.826502643273022e-10</v>
      </c>
    </row>
    <row r="7" ht="15.75" customHeight="1" s="45">
      <c r="A7" s="28" t="inlineStr">
        <is>
          <t>NVDA</t>
        </is>
      </c>
      <c r="B7" s="28" t="inlineStr">
        <is>
          <t>NVIDIA Corp</t>
        </is>
      </c>
      <c r="C7" s="28" t="inlineStr">
        <is>
          <t>Technology</t>
        </is>
      </c>
      <c r="D7" s="28" t="inlineStr">
        <is>
          <t>Semiconductors</t>
        </is>
      </c>
      <c r="E7" s="28" t="inlineStr">
        <is>
          <t>USA</t>
        </is>
      </c>
      <c r="F7" s="28" t="inlineStr">
        <is>
          <t>5452.26B</t>
        </is>
      </c>
      <c r="G7" s="28" t="inlineStr">
        <is>
          <t>34,5</t>
        </is>
      </c>
      <c r="H7" s="28" t="n">
        <v>225.3</v>
      </c>
      <c r="I7" s="28" t="inlineStr">
        <is>
          <t>0,54%</t>
        </is>
      </c>
      <c r="J7" s="26" t="n">
        <v>98758778</v>
      </c>
      <c r="K7" s="28" t="n">
        <v>0.06</v>
      </c>
      <c r="L7" s="28" t="n">
        <v>628.92</v>
      </c>
      <c r="M7" s="28" t="inlineStr">
        <is>
          <t>N/A</t>
        </is>
      </c>
      <c r="N7" s="28" t="n">
        <v>0.12</v>
      </c>
      <c r="O7" s="28" t="n">
        <v>0.83</v>
      </c>
      <c r="P7" s="28" t="n">
        <v>75.23999999999999</v>
      </c>
      <c r="Q7" s="28" t="inlineStr">
        <is>
          <t>Promedio en 10 años</t>
        </is>
      </c>
      <c r="R7" s="29" t="n">
        <v>2.16</v>
      </c>
      <c r="U7" s="28">
        <f>IF(E7="USA",R7,"completar")</f>
        <v/>
      </c>
      <c r="V7" s="28" t="n">
        <v>10</v>
      </c>
      <c r="W7" s="29" t="n">
        <v>5.84</v>
      </c>
      <c r="X7" s="29" t="n">
        <v>34.48</v>
      </c>
      <c r="Y7" s="28" t="n">
        <v>4.63</v>
      </c>
      <c r="Z7" s="4">
        <f>VLOOKUP(C7,$C$53:$D$61,2,0)</f>
        <v/>
      </c>
      <c r="AA7" s="28">
        <f>Y7+U7*(V7-Y7)</f>
        <v/>
      </c>
      <c r="AB7" s="28">
        <f>1/((AA7-Z7)/100)</f>
        <v/>
      </c>
      <c r="AC7" s="32">
        <f>(AB7/X7)^(1/AD7)-1</f>
        <v/>
      </c>
      <c r="AD7" s="4" t="n">
        <v>7</v>
      </c>
      <c r="AE7" s="32">
        <f>N7/100+P7/100+O7/100+AC7</f>
        <v/>
      </c>
      <c r="AF7" s="33">
        <f>RANK(AE7,AE$3:AE$51)</f>
        <v/>
      </c>
      <c r="AG7" s="28">
        <f>1.16+Y7</f>
        <v/>
      </c>
      <c r="AH7" s="47">
        <f>W7*(8.5+2*P7)*4.4/AG7</f>
        <v/>
      </c>
      <c r="AI7" s="32">
        <f>AH7/$H7-1</f>
        <v/>
      </c>
      <c r="AJ7" s="33">
        <f>RANK(AI7,AI$3:AI$51)</f>
        <v/>
      </c>
      <c r="AK7" s="48" t="n">
        <v>280</v>
      </c>
      <c r="AL7" s="32">
        <f>AK7/$H7-1</f>
        <v/>
      </c>
      <c r="AM7" s="33">
        <f>RANK(AL7,AL$3:AL$51)</f>
        <v/>
      </c>
      <c r="AN7" s="33">
        <f>1/(60+AF7)+1/(60+AJ7)+1/(60+AM7)</f>
        <v/>
      </c>
      <c r="AO7" s="33">
        <f>RANK(AN7,AN$3:AN$51)</f>
        <v/>
      </c>
      <c r="AP7" s="33">
        <f>(49-AF7)+(49-AJ7)+(49-AM7)</f>
        <v/>
      </c>
      <c r="AQ7" s="33">
        <f>RANK(AP7,AP$3:AP$51)</f>
        <v/>
      </c>
      <c r="AR7" s="33">
        <f>SUMPRODUCT(--(((AF7&lt;$AF$3:$AF$51)+(AJ7&lt;$AJ$3:$AJ$51)+(AM7&lt;$AM$3:$AM$51))&gt;=2))
-SUMPRODUCT(--(((AF7&gt;$AF$3:$AF$51)+(AJ7&gt;$AJ$3:$AJ$51)+(AM7&gt;$AM$3:$AM$51))&gt;=2))</f>
        <v/>
      </c>
      <c r="AS7" s="33">
        <f>RANK(AR7,AR$3:AR$51)</f>
        <v/>
      </c>
      <c r="AT7" s="37" t="n">
        <v>5</v>
      </c>
      <c r="AU7" s="33" t="n">
        <v>0.0489307618495306</v>
      </c>
    </row>
    <row r="8" ht="15.75" customHeight="1" s="45">
      <c r="A8" s="28" t="inlineStr">
        <is>
          <t>TOST</t>
        </is>
      </c>
      <c r="B8" s="28" t="inlineStr">
        <is>
          <t>Toast Inc</t>
        </is>
      </c>
      <c r="C8" s="28" t="inlineStr">
        <is>
          <t>Technology</t>
        </is>
      </c>
      <c r="D8" s="28" t="inlineStr">
        <is>
          <t>Software - Infrastructure</t>
        </is>
      </c>
      <c r="E8" s="28" t="inlineStr">
        <is>
          <t>USA</t>
        </is>
      </c>
      <c r="F8" s="28" t="inlineStr">
        <is>
          <t>20.46B</t>
        </is>
      </c>
      <c r="G8" s="28" t="n">
        <v>45</v>
      </c>
      <c r="H8" s="28" t="n">
        <v>35.22</v>
      </c>
      <c r="I8" s="28" t="n">
        <v>0.0341</v>
      </c>
      <c r="J8" s="28" t="inlineStr">
        <is>
          <t>8,015,204</t>
        </is>
      </c>
      <c r="K8" s="28" t="n">
        <v>0</v>
      </c>
      <c r="L8" s="28" t="n">
        <v>0</v>
      </c>
      <c r="M8" s="28" t="inlineStr">
        <is>
          <t>N/A</t>
        </is>
      </c>
      <c r="N8" s="28" t="n">
        <v>0</v>
      </c>
      <c r="O8" s="28" t="n">
        <v>0</v>
      </c>
      <c r="P8" s="4" t="n">
        <v>79</v>
      </c>
      <c r="Q8" s="4" t="inlineStr">
        <is>
          <t>EPS manual</t>
        </is>
      </c>
      <c r="R8" s="28" t="n">
        <v>1.69</v>
      </c>
      <c r="S8" s="28" t="inlineStr">
        <is>
          <t>Morningstar US Market TR USD</t>
        </is>
      </c>
      <c r="T8" s="28" t="n">
        <v>15.17</v>
      </c>
      <c r="U8" s="28" t="n">
        <v>1.73</v>
      </c>
      <c r="V8" s="28" t="n">
        <v>10</v>
      </c>
      <c r="W8" s="28" t="n">
        <v>0.78</v>
      </c>
      <c r="X8" s="28" t="n">
        <v>43.99</v>
      </c>
      <c r="Y8" s="28" t="n">
        <v>4.63</v>
      </c>
      <c r="Z8" s="4">
        <f>VLOOKUP(C8,$C$53:$D$61,2,0)</f>
        <v/>
      </c>
      <c r="AA8" s="28">
        <f>Y8+U8*(V8-Y8)</f>
        <v/>
      </c>
      <c r="AB8" s="28">
        <f>1/((AA8-Z8)/100)</f>
        <v/>
      </c>
      <c r="AC8" s="32">
        <f>(AB8/X8)^(1/AD8)-1</f>
        <v/>
      </c>
      <c r="AD8" s="4" t="n">
        <v>7</v>
      </c>
      <c r="AE8" s="32">
        <f>N8/100+P8/100+O8/100+AC8</f>
        <v/>
      </c>
      <c r="AF8" s="33">
        <f>RANK(AE8,AE$3:AE$51)</f>
        <v/>
      </c>
      <c r="AG8" s="28">
        <f>1.16+Y8</f>
        <v/>
      </c>
      <c r="AH8" s="47">
        <f>W8*(8.5+2*P8)*4.4/AG8</f>
        <v/>
      </c>
      <c r="AI8" s="32">
        <f>AH8/$H8-1</f>
        <v/>
      </c>
      <c r="AJ8" s="33">
        <f>RANK(AI8,AI$3:AI$51)</f>
        <v/>
      </c>
      <c r="AK8" s="49" t="n">
        <v>43.6</v>
      </c>
      <c r="AL8" s="32">
        <f>AK8/$H8-1</f>
        <v/>
      </c>
      <c r="AM8" s="33">
        <f>RANK(AL8,AL$3:AL$51)</f>
        <v/>
      </c>
      <c r="AN8" s="33">
        <f>1/(60+AF8)+1/(60+AJ8)+1/(60+AM8)</f>
        <v/>
      </c>
      <c r="AO8" s="33">
        <f>RANK(AN8,AN$3:AN$51)</f>
        <v/>
      </c>
      <c r="AP8" s="33">
        <f>(49-AF8)+(49-AJ8)+(49-AM8)</f>
        <v/>
      </c>
      <c r="AQ8" s="33">
        <f>RANK(AP8,AP$3:AP$51)</f>
        <v/>
      </c>
      <c r="AR8" s="33">
        <f>SUMPRODUCT(--(((AF8&lt;$AF$3:$AF$51)+(AJ8&lt;$AJ$3:$AJ$51)+(AM8&lt;$AM$3:$AM$51))&gt;=2))
-SUMPRODUCT(--(((AF8&gt;$AF$3:$AF$51)+(AJ8&gt;$AJ$3:$AJ$51)+(AM8&gt;$AM$3:$AM$51))&gt;=2))</f>
        <v/>
      </c>
      <c r="AS8" s="33">
        <f>RANK(AR8,AR$3:AR$51)</f>
        <v/>
      </c>
      <c r="AT8" s="33" t="n">
        <v>6</v>
      </c>
      <c r="AU8" s="33" t="n">
        <v>0.01783206329345386</v>
      </c>
    </row>
    <row r="9" ht="15.75" customHeight="1" s="45">
      <c r="A9" s="28" t="inlineStr">
        <is>
          <t>RSSS</t>
        </is>
      </c>
      <c r="B9" s="28" t="inlineStr">
        <is>
          <t>Research Solutions Inc</t>
        </is>
      </c>
      <c r="C9" s="28" t="inlineStr">
        <is>
          <t>Technology</t>
        </is>
      </c>
      <c r="D9" s="28" t="inlineStr">
        <is>
          <t>Software - Application</t>
        </is>
      </c>
      <c r="E9" s="28" t="inlineStr">
        <is>
          <t>USA</t>
        </is>
      </c>
      <c r="F9" s="28" t="inlineStr">
        <is>
          <t>76.60M</t>
        </is>
      </c>
      <c r="G9" s="28" t="inlineStr">
        <is>
          <t>16,42</t>
        </is>
      </c>
      <c r="H9" s="28" t="n">
        <v>2.29</v>
      </c>
      <c r="I9" s="28" t="inlineStr">
        <is>
          <t>2,69%</t>
        </is>
      </c>
      <c r="J9" s="26" t="n">
        <v>37832</v>
      </c>
      <c r="K9" s="28" t="n">
        <v>0</v>
      </c>
      <c r="L9" s="4" t="n">
        <v>0</v>
      </c>
      <c r="M9" s="28" t="inlineStr">
        <is>
          <t>N/A</t>
        </is>
      </c>
      <c r="N9" s="28" t="n">
        <v>0</v>
      </c>
      <c r="O9" s="28" t="n">
        <v>0.09</v>
      </c>
      <c r="P9" s="28" t="n">
        <v>32.84</v>
      </c>
      <c r="Q9" s="28" t="inlineStr">
        <is>
          <t>Promedio en 10 años</t>
        </is>
      </c>
      <c r="R9" s="29" t="n">
        <v>0.77</v>
      </c>
      <c r="U9" s="28">
        <f>IF(E9="USA",R9,"completar")</f>
        <v/>
      </c>
      <c r="V9" s="28" t="n">
        <v>10</v>
      </c>
      <c r="W9" s="29" t="n">
        <v>0.14</v>
      </c>
      <c r="X9" s="29" t="n">
        <v>16.63</v>
      </c>
      <c r="Y9" s="28" t="n">
        <v>4.63</v>
      </c>
      <c r="Z9" s="4">
        <f>VLOOKUP(C9,$C$53:$D$61,2,0)</f>
        <v/>
      </c>
      <c r="AA9" s="28">
        <f>Y9+U9*(V9-Y9)</f>
        <v/>
      </c>
      <c r="AB9" s="28">
        <f>1/((AA9-Z9)/100)</f>
        <v/>
      </c>
      <c r="AC9" s="32">
        <f>(AB9/X9)^(1/AD9)-1</f>
        <v/>
      </c>
      <c r="AD9" s="4" t="n">
        <v>7</v>
      </c>
      <c r="AE9" s="32">
        <f>N9/100+P9/100+O9/100+AC9</f>
        <v/>
      </c>
      <c r="AF9" s="33">
        <f>RANK(AE9,AE$3:AE$51)</f>
        <v/>
      </c>
      <c r="AG9" s="28">
        <f>1.16+Y9</f>
        <v/>
      </c>
      <c r="AH9" s="47">
        <f>W9*(8.5+2*P9)*4.4/AG9</f>
        <v/>
      </c>
      <c r="AI9" s="32">
        <f>AH9/$H9-1</f>
        <v/>
      </c>
      <c r="AJ9" s="33">
        <f>RANK(AI9,AI$3:AI$51)</f>
        <v/>
      </c>
      <c r="AK9" s="48" t="n">
        <v>2.59</v>
      </c>
      <c r="AL9" s="32">
        <f>AK9/$H9-1</f>
        <v/>
      </c>
      <c r="AM9" s="33">
        <f>RANK(AL9,AL$3:AL$51)</f>
        <v/>
      </c>
      <c r="AN9" s="33">
        <f>1/(60+AF9)+1/(60+AJ9)+1/(60+AM9)</f>
        <v/>
      </c>
      <c r="AO9" s="33">
        <f>RANK(AN9,AN$3:AN$51)</f>
        <v/>
      </c>
      <c r="AP9" s="33">
        <f>(49-AF9)+(49-AJ9)+(49-AM9)</f>
        <v/>
      </c>
      <c r="AQ9" s="33">
        <f>RANK(AP9,AP$3:AP$51)</f>
        <v/>
      </c>
      <c r="AR9" s="33">
        <f>SUMPRODUCT(--(((AF9&lt;$AF$3:$AF$51)+(AJ9&lt;$AJ$3:$AJ$51)+(AM9&lt;$AM$3:$AM$51))&gt;=2))
-SUMPRODUCT(--(((AF9&gt;$AF$3:$AF$51)+(AJ9&gt;$AJ$3:$AJ$51)+(AM9&gt;$AM$3:$AM$51))&gt;=2))</f>
        <v/>
      </c>
      <c r="AS9" s="33">
        <f>RANK(AR9,AR$3:AR$51)</f>
        <v/>
      </c>
      <c r="AT9" s="33" t="n">
        <v>7</v>
      </c>
      <c r="AU9" s="33" t="n">
        <v>0.1220450506955141</v>
      </c>
    </row>
    <row r="10" ht="15.75" customHeight="1" s="45">
      <c r="A10" s="28" t="inlineStr">
        <is>
          <t>SPOT</t>
        </is>
      </c>
      <c r="B10" s="28" t="inlineStr">
        <is>
          <t>Spotify Technology SA</t>
        </is>
      </c>
      <c r="C10" s="28" t="inlineStr">
        <is>
          <t>Communication Services</t>
        </is>
      </c>
      <c r="D10" s="28" t="inlineStr">
        <is>
          <t>Internet Content &amp; Information</t>
        </is>
      </c>
      <c r="E10" s="28" t="inlineStr">
        <is>
          <t>Sweden</t>
        </is>
      </c>
      <c r="F10" s="28" t="inlineStr">
        <is>
          <t>102.58B</t>
        </is>
      </c>
      <c r="G10" s="28" t="n">
        <v>31.02</v>
      </c>
      <c r="H10" s="28" t="n">
        <v>498.24</v>
      </c>
      <c r="I10" s="28" t="n">
        <v>0.0176</v>
      </c>
      <c r="J10" s="28" t="inlineStr">
        <is>
          <t>1,091,903</t>
        </is>
      </c>
      <c r="K10" s="28" t="n">
        <v>0.06</v>
      </c>
      <c r="L10" s="28" t="n">
        <v>110.53</v>
      </c>
      <c r="M10" s="28" t="inlineStr">
        <is>
          <t>N/A</t>
        </is>
      </c>
      <c r="N10" s="28" t="n">
        <v>0</v>
      </c>
      <c r="O10" s="28" t="n">
        <v>0</v>
      </c>
      <c r="P10" s="4" t="n">
        <v>60</v>
      </c>
      <c r="Q10" s="4" t="inlineStr">
        <is>
          <t>EPS manual</t>
        </is>
      </c>
      <c r="R10" s="28" t="n">
        <v>1.57</v>
      </c>
      <c r="S10" s="28" t="inlineStr">
        <is>
          <t>Morningstar US Market TR USD</t>
        </is>
      </c>
      <c r="T10" s="28" t="n">
        <v>15.17</v>
      </c>
      <c r="U10" s="28" t="n">
        <v>1.58</v>
      </c>
      <c r="V10" s="28" t="n">
        <v>10</v>
      </c>
      <c r="W10" s="28" t="n">
        <v>15.94</v>
      </c>
      <c r="X10" s="28" t="n">
        <v>29.46</v>
      </c>
      <c r="Y10" s="28" t="n">
        <v>4.63</v>
      </c>
      <c r="Z10" s="4">
        <f>VLOOKUP(C10,$C$53:$D$61,2,0)</f>
        <v/>
      </c>
      <c r="AA10" s="28">
        <f>Y10+U10*(V10-Y10)</f>
        <v/>
      </c>
      <c r="AB10" s="28">
        <f>1/((AA10-Z10)/100)</f>
        <v/>
      </c>
      <c r="AC10" s="32">
        <f>(AB10/X10)^(1/AD10)-1</f>
        <v/>
      </c>
      <c r="AD10" s="4" t="n">
        <v>7</v>
      </c>
      <c r="AE10" s="32">
        <f>N10/100+P10/100+O10/100+AC10</f>
        <v/>
      </c>
      <c r="AF10" s="33">
        <f>RANK(AE10,AE$3:AE$51)</f>
        <v/>
      </c>
      <c r="AG10" s="28">
        <f>1.16+Y10</f>
        <v/>
      </c>
      <c r="AH10" s="47">
        <f>W10*(8.5+2*P10)*4.4/AG10</f>
        <v/>
      </c>
      <c r="AI10" s="32">
        <f>AH10/$H10-1</f>
        <v/>
      </c>
      <c r="AJ10" s="33">
        <f>RANK(AI10,AI$3:AI$51)</f>
        <v/>
      </c>
      <c r="AK10" s="49" t="n">
        <v>560</v>
      </c>
      <c r="AL10" s="32">
        <f>AK10/$H10-1</f>
        <v/>
      </c>
      <c r="AM10" s="33">
        <f>RANK(AL10,AL$3:AL$51)</f>
        <v/>
      </c>
      <c r="AN10" s="33">
        <f>1/(60+AF10)+1/(60+AJ10)+1/(60+AM10)</f>
        <v/>
      </c>
      <c r="AO10" s="33">
        <f>RANK(AN10,AN$3:AN$51)</f>
        <v/>
      </c>
      <c r="AP10" s="33">
        <f>(49-AF10)+(49-AJ10)+(49-AM10)</f>
        <v/>
      </c>
      <c r="AQ10" s="33">
        <f>RANK(AP10,AP$3:AP$51)</f>
        <v/>
      </c>
      <c r="AR10" s="33">
        <f>SUMPRODUCT(--(((AF10&lt;$AF$3:$AF$51)+(AJ10&lt;$AJ$3:$AJ$51)+(AM10&lt;$AM$3:$AM$51))&gt;=2))
-SUMPRODUCT(--(((AF10&gt;$AF$3:$AF$51)+(AJ10&gt;$AJ$3:$AJ$51)+(AM10&gt;$AM$3:$AM$51))&gt;=2))</f>
        <v/>
      </c>
      <c r="AS10" s="33">
        <f>RANK(AR10,AR$3:AR$51)</f>
        <v/>
      </c>
      <c r="AT10" s="33" t="n">
        <v>8</v>
      </c>
      <c r="AU10" s="33" t="n">
        <v>0.02150070301100851</v>
      </c>
    </row>
    <row r="11" ht="15.75" customHeight="1" s="45">
      <c r="A11" s="28" t="inlineStr">
        <is>
          <t>NFLX</t>
        </is>
      </c>
      <c r="B11" s="28" t="inlineStr">
        <is>
          <t>Netflix Inc</t>
        </is>
      </c>
      <c r="C11" s="28" t="inlineStr">
        <is>
          <t>Communication Services</t>
        </is>
      </c>
      <c r="D11" s="28" t="inlineStr">
        <is>
          <t>Entertainment</t>
        </is>
      </c>
      <c r="E11" s="28" t="inlineStr">
        <is>
          <t>USA</t>
        </is>
      </c>
      <c r="F11" s="28" t="inlineStr">
        <is>
          <t>325.79B</t>
        </is>
      </c>
      <c r="G11" s="28" t="n">
        <v>24.65</v>
      </c>
      <c r="H11" s="28" t="n">
        <v>78.23999999999999</v>
      </c>
      <c r="I11" s="28" t="n">
        <v>543</v>
      </c>
      <c r="J11" s="28" t="inlineStr">
        <is>
          <t>41.362.114</t>
        </is>
      </c>
      <c r="K11" s="28" t="n">
        <v>0.47</v>
      </c>
      <c r="L11" s="28" t="n">
        <v>16.94</v>
      </c>
      <c r="M11" s="28" t="inlineStr">
        <is>
          <t>N/A</t>
        </is>
      </c>
      <c r="N11" s="28" t="n">
        <v>0</v>
      </c>
      <c r="O11" s="28" t="n">
        <v>2.97</v>
      </c>
      <c r="P11" s="28" t="n">
        <v>56.63</v>
      </c>
      <c r="Q11" s="28" t="inlineStr">
        <is>
          <t>10 años</t>
        </is>
      </c>
      <c r="R11" s="29" t="n">
        <v>1.52</v>
      </c>
      <c r="U11" s="28">
        <f>IF(E11="USA",R11,"completar")</f>
        <v/>
      </c>
      <c r="V11" s="28" t="n">
        <v>10</v>
      </c>
      <c r="W11" s="29" t="n">
        <v>3.18</v>
      </c>
      <c r="X11" s="29" t="n">
        <v>24.65</v>
      </c>
      <c r="Y11" s="28" t="n">
        <v>4.63</v>
      </c>
      <c r="Z11" s="4">
        <f>VLOOKUP(C11,$C$53:$D$61,2,0)</f>
        <v/>
      </c>
      <c r="AA11" s="28">
        <f>Y11+U11*(V11-Y11)</f>
        <v/>
      </c>
      <c r="AB11" s="28">
        <f>1/((AA11-Z11)/100)</f>
        <v/>
      </c>
      <c r="AC11" s="32">
        <f>(AB11/X11)^(1/AD11)-1</f>
        <v/>
      </c>
      <c r="AD11" s="4" t="n">
        <v>7</v>
      </c>
      <c r="AE11" s="32">
        <f>N11/100+P11/100+O11/100+AC11</f>
        <v/>
      </c>
      <c r="AF11" s="33">
        <f>RANK(AE11,AE$3:AE$51)</f>
        <v/>
      </c>
      <c r="AG11" s="28">
        <f>1.16+Y11</f>
        <v/>
      </c>
      <c r="AH11" s="47">
        <f>W11*(8.5+2*P11)*4.4/AG11</f>
        <v/>
      </c>
      <c r="AI11" s="32">
        <f>AH11/$H11-1</f>
        <v/>
      </c>
      <c r="AJ11" s="33">
        <f>RANK(AI11,AI$3:AI$51)</f>
        <v/>
      </c>
      <c r="AK11" s="48" t="n">
        <v>80</v>
      </c>
      <c r="AL11" s="32">
        <f>AK11/$H11-1</f>
        <v/>
      </c>
      <c r="AM11" s="33">
        <f>RANK(AL11,AL$3:AL$51)</f>
        <v/>
      </c>
      <c r="AN11" s="33">
        <f>1/(60+AF11)+1/(60+AJ11)+1/(60+AM11)</f>
        <v/>
      </c>
      <c r="AO11" s="33">
        <f>RANK(AN11,AN$3:AN$51)</f>
        <v/>
      </c>
      <c r="AP11" s="33">
        <f>(49-AF11)+(49-AJ11)+(49-AM11)</f>
        <v/>
      </c>
      <c r="AQ11" s="33">
        <f>RANK(AP11,AP$3:AP$51)</f>
        <v/>
      </c>
      <c r="AR11" s="33">
        <f>SUMPRODUCT(--(((AF11&lt;$AF$3:$AF$51)+(AJ11&lt;$AJ$3:$AJ$51)+(AM11&lt;$AM$3:$AM$51))&gt;=2))
-SUMPRODUCT(--(((AF11&gt;$AF$3:$AF$51)+(AJ11&gt;$AJ$3:$AJ$51)+(AM11&gt;$AM$3:$AM$51))&gt;=2))</f>
        <v/>
      </c>
      <c r="AS11" s="33">
        <f>RANK(AR11,AR$3:AR$51)</f>
        <v/>
      </c>
      <c r="AT11" s="33" t="n">
        <v>9</v>
      </c>
      <c r="AU11" s="33" t="n">
        <v>0.1680719867213269</v>
      </c>
    </row>
    <row r="12" ht="15.75" customHeight="1" s="45">
      <c r="A12" s="28" t="inlineStr">
        <is>
          <t>PLTR</t>
        </is>
      </c>
      <c r="B12" s="28" t="inlineStr">
        <is>
          <t>Palantir Technologies Inc</t>
        </is>
      </c>
      <c r="C12" s="28" t="inlineStr">
        <is>
          <t>Technology</t>
        </is>
      </c>
      <c r="D12" s="28" t="inlineStr">
        <is>
          <t>Software - Infrastructure</t>
        </is>
      </c>
      <c r="E12" s="28" t="inlineStr">
        <is>
          <t>USA</t>
        </is>
      </c>
      <c r="F12" s="28" t="inlineStr">
        <is>
          <t>430.18B</t>
        </is>
      </c>
      <c r="G12" s="28" t="inlineStr">
        <is>
          <t>152,99</t>
        </is>
      </c>
      <c r="H12" s="28" t="n">
        <v>179.01</v>
      </c>
      <c r="I12" s="28" t="inlineStr">
        <is>
          <t>4,66%</t>
        </is>
      </c>
      <c r="J12" s="26" t="n">
        <v>36457257</v>
      </c>
      <c r="K12" s="28" t="n">
        <v>0.02</v>
      </c>
      <c r="L12" s="4" t="n">
        <v>0</v>
      </c>
      <c r="M12" s="28" t="inlineStr">
        <is>
          <t>N/A</t>
        </is>
      </c>
      <c r="N12" s="28" t="n">
        <v>0</v>
      </c>
      <c r="O12" s="28" t="n">
        <v>0.02</v>
      </c>
      <c r="P12" s="28" t="n">
        <v>244.63</v>
      </c>
      <c r="Q12" s="28" t="inlineStr">
        <is>
          <t>Promedio en 3 años</t>
        </is>
      </c>
      <c r="R12" s="29" t="n">
        <v>1.65</v>
      </c>
      <c r="U12" s="28">
        <f>IF(E12="USA",R12,"completar")</f>
        <v/>
      </c>
      <c r="V12" s="28" t="n">
        <v>10</v>
      </c>
      <c r="W12" s="29" t="n">
        <v>1.46</v>
      </c>
      <c r="X12" s="29" t="n">
        <v>148.74</v>
      </c>
      <c r="Y12" s="28" t="n">
        <v>4.63</v>
      </c>
      <c r="Z12" s="4">
        <f>VLOOKUP(C12,$C$53:$D$61,2,0)</f>
        <v/>
      </c>
      <c r="AA12" s="28">
        <f>Y12+U12*(V12-Y12)</f>
        <v/>
      </c>
      <c r="AB12" s="28">
        <f>1/((AA12-Z12)/100)</f>
        <v/>
      </c>
      <c r="AC12" s="32">
        <f>(AB12/X12)^(1/AD12)-1</f>
        <v/>
      </c>
      <c r="AD12" s="4" t="n">
        <v>7</v>
      </c>
      <c r="AE12" s="32">
        <f>N12/100+P12/100+O12/100+AC12</f>
        <v/>
      </c>
      <c r="AF12" s="33">
        <f>RANK(AE12,AE$3:AE$51)</f>
        <v/>
      </c>
      <c r="AG12" s="28">
        <f>1.16+Y12</f>
        <v/>
      </c>
      <c r="AH12" s="47">
        <f>W12*(8.5+2*P12)*4.4/AG12</f>
        <v/>
      </c>
      <c r="AI12" s="32">
        <f>AH12/$H12-1</f>
        <v/>
      </c>
      <c r="AJ12" s="33">
        <f>RANK(AI12,AI$3:AI$51)</f>
        <v/>
      </c>
      <c r="AK12" s="48" t="n">
        <v>153</v>
      </c>
      <c r="AL12" s="32">
        <f>AK12/$H12-1</f>
        <v/>
      </c>
      <c r="AM12" s="33">
        <f>RANK(AL12,AL$3:AL$51)</f>
        <v/>
      </c>
      <c r="AN12" s="33">
        <f>1/(60+AF12)+1/(60+AJ12)+1/(60+AM12)</f>
        <v/>
      </c>
      <c r="AO12" s="33">
        <f>RANK(AN12,AN$3:AN$51)</f>
        <v/>
      </c>
      <c r="AP12" s="33">
        <f>(49-AF12)+(49-AJ12)+(49-AM12)</f>
        <v/>
      </c>
      <c r="AQ12" s="33">
        <f>RANK(AP12,AP$3:AP$51)</f>
        <v/>
      </c>
      <c r="AR12" s="33">
        <f>SUMPRODUCT(--(((AF12&lt;$AF$3:$AF$51)+(AJ12&lt;$AJ$3:$AJ$51)+(AM12&lt;$AM$3:$AM$51))&gt;=2))
-SUMPRODUCT(--(((AF12&gt;$AF$3:$AF$51)+(AJ12&gt;$AJ$3:$AJ$51)+(AM12&gt;$AM$3:$AM$51))&gt;=2))</f>
        <v/>
      </c>
      <c r="AS12" s="33">
        <f>RANK(AR12,AR$3:AR$51)</f>
        <v/>
      </c>
      <c r="AT12" s="33" t="n">
        <v>10</v>
      </c>
      <c r="AU12" s="33" t="n">
        <v>2.650763409242652e-09</v>
      </c>
    </row>
    <row r="13" ht="15.75" customHeight="1" s="45">
      <c r="A13" s="28" t="inlineStr">
        <is>
          <t>CGAU</t>
        </is>
      </c>
      <c r="B13" s="28" t="inlineStr">
        <is>
          <t>Centerra Gold Inc</t>
        </is>
      </c>
      <c r="C13" s="28" t="inlineStr">
        <is>
          <t>Basic Materials</t>
        </is>
      </c>
      <c r="D13" s="28" t="inlineStr">
        <is>
          <t>Gold</t>
        </is>
      </c>
      <c r="E13" s="28" t="inlineStr">
        <is>
          <t>Canada</t>
        </is>
      </c>
      <c r="F13" s="28" t="inlineStr">
        <is>
          <t>4.15B</t>
        </is>
      </c>
      <c r="G13" s="28" t="inlineStr">
        <is>
          <t>6,77</t>
        </is>
      </c>
      <c r="H13" s="28" t="n">
        <v>21.24</v>
      </c>
      <c r="I13" s="28" t="inlineStr">
        <is>
          <t>-2,30%</t>
        </is>
      </c>
      <c r="J13" s="26" t="n">
        <v>1771690</v>
      </c>
      <c r="K13" s="28" t="n">
        <v>0.02</v>
      </c>
      <c r="L13" s="4" t="n">
        <v>0</v>
      </c>
      <c r="M13" s="28" t="inlineStr">
        <is>
          <t>N/A</t>
        </is>
      </c>
      <c r="N13" s="28" t="n">
        <v>0.9399999999999999</v>
      </c>
      <c r="O13" s="28" t="n">
        <v>2.83</v>
      </c>
      <c r="P13" s="28" t="n">
        <v>28.47</v>
      </c>
      <c r="Q13" s="28" t="inlineStr">
        <is>
          <t>5 años</t>
        </is>
      </c>
      <c r="R13" s="39" t="n">
        <v>1.57</v>
      </c>
      <c r="U13" s="39" t="n">
        <v>1.57</v>
      </c>
      <c r="V13" s="28" t="n">
        <v>10</v>
      </c>
      <c r="W13" s="29" t="n">
        <v>3.16</v>
      </c>
      <c r="X13" s="29" t="n">
        <v>6.77</v>
      </c>
      <c r="Y13" s="28" t="n">
        <v>4.63</v>
      </c>
      <c r="Z13" s="4">
        <f>VLOOKUP(C13,$C$53:$D$61,2,0)</f>
        <v/>
      </c>
      <c r="AA13" s="28">
        <f>Y13+U13*(V13-Y13)</f>
        <v/>
      </c>
      <c r="AB13" s="28">
        <f>1/((AA13-Z13)/100)</f>
        <v/>
      </c>
      <c r="AC13" s="32">
        <f>(AB13/X13)^(1/AD13)-1</f>
        <v/>
      </c>
      <c r="AD13" s="4" t="n">
        <v>7</v>
      </c>
      <c r="AE13" s="32">
        <f>N13/100+P13/100+O13/100+AC13</f>
        <v/>
      </c>
      <c r="AF13" s="33">
        <f>RANK(AE13,AE$3:AE$51)</f>
        <v/>
      </c>
      <c r="AG13" s="28">
        <f>1.16+Y13</f>
        <v/>
      </c>
      <c r="AH13" s="47">
        <f>W13*(8.5+2*P13)*4.4/AG13</f>
        <v/>
      </c>
      <c r="AI13" s="32">
        <f>AH13/$H13-1</f>
        <v/>
      </c>
      <c r="AJ13" s="33">
        <f>RANK(AI13,AI$3:AI$51)</f>
        <v/>
      </c>
      <c r="AK13" s="49" t="n">
        <v>18.93</v>
      </c>
      <c r="AL13" s="32">
        <f>AK13/$H13-1</f>
        <v/>
      </c>
      <c r="AM13" s="33">
        <f>RANK(AL13,AL$3:AL$51)</f>
        <v/>
      </c>
      <c r="AN13" s="33">
        <f>1/(60+AF13)+1/(60+AJ13)+1/(60+AM13)</f>
        <v/>
      </c>
      <c r="AO13" s="33">
        <f>RANK(AN13,AN$3:AN$51)</f>
        <v/>
      </c>
      <c r="AP13" s="33">
        <f>(49-AF13)+(49-AJ13)+(49-AM13)</f>
        <v/>
      </c>
      <c r="AQ13" s="33">
        <f>RANK(AP13,AP$3:AP$51)</f>
        <v/>
      </c>
      <c r="AR13" s="33">
        <f>SUMPRODUCT(--(((AF13&lt;$AF$3:$AF$51)+(AJ13&lt;$AJ$3:$AJ$51)+(AM13&lt;$AM$3:$AM$51))&gt;=2))
-SUMPRODUCT(--(((AF13&gt;$AF$3:$AF$51)+(AJ13&gt;$AJ$3:$AJ$51)+(AM13&gt;$AM$3:$AM$51))&gt;=2))</f>
        <v/>
      </c>
      <c r="AS13" s="33">
        <f>RANK(AR13,AR$3:AR$51)</f>
        <v/>
      </c>
      <c r="AT13" s="33" t="n">
        <v>11</v>
      </c>
      <c r="AU13" s="33" t="n">
        <v>0.03620476913836694</v>
      </c>
    </row>
    <row r="14" ht="15.75" customHeight="1" s="45">
      <c r="A14" s="28" t="inlineStr">
        <is>
          <t>DRD</t>
        </is>
      </c>
      <c r="B14" s="28" t="inlineStr">
        <is>
          <t>DRDGold Ltd ADR</t>
        </is>
      </c>
      <c r="C14" s="28" t="inlineStr">
        <is>
          <t>Basic Materials</t>
        </is>
      </c>
      <c r="D14" s="28" t="inlineStr">
        <is>
          <t>Gold</t>
        </is>
      </c>
      <c r="E14" s="28" t="inlineStr">
        <is>
          <t>South Africa</t>
        </is>
      </c>
      <c r="F14" s="28" t="inlineStr">
        <is>
          <t>2.06B</t>
        </is>
      </c>
      <c r="G14" s="28" t="inlineStr">
        <is>
          <t>11,47</t>
        </is>
      </c>
      <c r="H14" s="28" t="n">
        <v>23.78</v>
      </c>
      <c r="I14" s="28" t="inlineStr">
        <is>
          <t>-1,57%</t>
        </is>
      </c>
      <c r="J14" s="26" t="n">
        <v>271248</v>
      </c>
      <c r="K14" s="28" t="n">
        <v>0</v>
      </c>
      <c r="L14" s="28" t="n">
        <v>46.53</v>
      </c>
      <c r="M14" s="28" t="inlineStr">
        <is>
          <t>N/A</t>
        </is>
      </c>
      <c r="N14" s="28" t="n">
        <v>2.17</v>
      </c>
      <c r="O14" s="28" t="n">
        <v>0</v>
      </c>
      <c r="P14" s="28" t="n">
        <v>25.62</v>
      </c>
      <c r="Q14" s="28" t="inlineStr">
        <is>
          <t>3 años</t>
        </is>
      </c>
      <c r="R14" s="39" t="n">
        <v>0.49</v>
      </c>
      <c r="U14" s="39" t="n">
        <v>0.49</v>
      </c>
      <c r="V14" s="28" t="n">
        <v>10</v>
      </c>
      <c r="W14" s="29" t="n">
        <v>25.89</v>
      </c>
      <c r="X14" s="29" t="n">
        <v>11.47</v>
      </c>
      <c r="Y14" s="28" t="n">
        <v>4.63</v>
      </c>
      <c r="Z14" s="4">
        <f>VLOOKUP(C14,$C$53:$D$61,2,0)</f>
        <v/>
      </c>
      <c r="AA14" s="28">
        <f>Y14+U14*(V14-Y14)</f>
        <v/>
      </c>
      <c r="AB14" s="28">
        <f>1/((AA14-Z14)/100)</f>
        <v/>
      </c>
      <c r="AC14" s="32">
        <f>(AB14/X14)^(1/AD14)-1</f>
        <v/>
      </c>
      <c r="AD14" s="4" t="n">
        <v>7</v>
      </c>
      <c r="AE14" s="32">
        <f>N14/100+P14/100+O14/100+AC14</f>
        <v/>
      </c>
      <c r="AF14" s="33">
        <f>RANK(AE14,AE$3:AE$51)</f>
        <v/>
      </c>
      <c r="AG14" s="28">
        <f>1.16+Y14</f>
        <v/>
      </c>
      <c r="AH14" s="47">
        <f>W14*(8.5+2*P14)*4.4/AG14</f>
        <v/>
      </c>
      <c r="AI14" s="32">
        <f>AH14/$H14-1</f>
        <v/>
      </c>
      <c r="AJ14" s="33">
        <f>RANK(AI14,AI$3:AI$51)</f>
        <v/>
      </c>
      <c r="AK14" s="48" t="n">
        <v>19.28</v>
      </c>
      <c r="AL14" s="32">
        <f>AK14/$H14-1</f>
        <v/>
      </c>
      <c r="AM14" s="33">
        <f>RANK(AL14,AL$3:AL$51)</f>
        <v/>
      </c>
      <c r="AN14" s="33">
        <f>1/(60+AF14)+1/(60+AJ14)+1/(60+AM14)</f>
        <v/>
      </c>
      <c r="AO14" s="33">
        <f>RANK(AN14,AN$3:AN$51)</f>
        <v/>
      </c>
      <c r="AP14" s="33">
        <f>(49-AF14)+(49-AJ14)+(49-AM14)</f>
        <v/>
      </c>
      <c r="AQ14" s="33">
        <f>RANK(AP14,AP$3:AP$51)</f>
        <v/>
      </c>
      <c r="AR14" s="33">
        <f>SUMPRODUCT(--(((AF14&lt;$AF$3:$AF$51)+(AJ14&lt;$AJ$3:$AJ$51)+(AM14&lt;$AM$3:$AM$51))&gt;=2))
-SUMPRODUCT(--(((AF14&gt;$AF$3:$AF$51)+(AJ14&gt;$AJ$3:$AJ$51)+(AM14&gt;$AM$3:$AM$51))&gt;=2))</f>
        <v/>
      </c>
      <c r="AS14" s="33">
        <f>RANK(AR14,AR$3:AR$51)</f>
        <v/>
      </c>
      <c r="AT14" s="33" t="n">
        <v>12</v>
      </c>
      <c r="AU14" s="33" t="n">
        <v>0.03115710986289</v>
      </c>
    </row>
    <row r="15" ht="15.75" customHeight="1" s="45">
      <c r="A15" s="28" t="inlineStr">
        <is>
          <t>DLO</t>
        </is>
      </c>
      <c r="B15" s="28" t="inlineStr">
        <is>
          <t>DLocal Limited</t>
        </is>
      </c>
      <c r="C15" s="28" t="inlineStr">
        <is>
          <t>Technology</t>
        </is>
      </c>
      <c r="D15" s="28" t="inlineStr">
        <is>
          <t>Software - Infrastructure</t>
        </is>
      </c>
      <c r="E15" s="28" t="inlineStr">
        <is>
          <t>Uruguay</t>
        </is>
      </c>
      <c r="F15" s="28" t="inlineStr">
        <is>
          <t>4.35B</t>
        </is>
      </c>
      <c r="G15" s="28" t="inlineStr">
        <is>
          <t>21,98</t>
        </is>
      </c>
      <c r="H15" s="28" t="n">
        <v>14.76</v>
      </c>
      <c r="I15" s="28" t="inlineStr">
        <is>
          <t>3,36%</t>
        </is>
      </c>
      <c r="J15" s="26" t="n">
        <v>3845530</v>
      </c>
      <c r="K15" s="28" t="n">
        <v>0.01</v>
      </c>
      <c r="L15" s="4" t="n">
        <v>0</v>
      </c>
      <c r="M15" s="28" t="inlineStr">
        <is>
          <t>N/A</t>
        </is>
      </c>
      <c r="N15" s="28" t="n">
        <v>1.37</v>
      </c>
      <c r="O15" s="28" t="n">
        <v>2.06</v>
      </c>
      <c r="P15" s="28" t="n">
        <v>24.57</v>
      </c>
      <c r="Q15" s="28" t="inlineStr">
        <is>
          <t>5 años</t>
        </is>
      </c>
      <c r="R15" s="39" t="n">
        <v>0.87</v>
      </c>
      <c r="U15" s="39" t="n">
        <v>0.87</v>
      </c>
      <c r="V15" s="28" t="n">
        <v>10</v>
      </c>
      <c r="W15" s="29" t="n">
        <v>0.68</v>
      </c>
      <c r="X15" s="29" t="n">
        <v>21.98</v>
      </c>
      <c r="Y15" s="28" t="n">
        <v>4.63</v>
      </c>
      <c r="Z15" s="4">
        <f>VLOOKUP(C15,$C$53:$D$61,2,0)</f>
        <v/>
      </c>
      <c r="AA15" s="28">
        <f>Y15+U15*(V15-Y15)</f>
        <v/>
      </c>
      <c r="AB15" s="28">
        <f>1/((AA15-Z15)/100)</f>
        <v/>
      </c>
      <c r="AC15" s="32">
        <f>(AB15/X15)^(1/AD15)-1</f>
        <v/>
      </c>
      <c r="AD15" s="4" t="n">
        <v>7</v>
      </c>
      <c r="AE15" s="32">
        <f>N15/100+P15/100+O15/100+AC15</f>
        <v/>
      </c>
      <c r="AF15" s="33">
        <f>RANK(AE15,AE$3:AE$51)</f>
        <v/>
      </c>
      <c r="AG15" s="28">
        <f>1.16+Y15</f>
        <v/>
      </c>
      <c r="AH15" s="47">
        <f>W15*(8.5+2*P15)*4.4/AG15</f>
        <v/>
      </c>
      <c r="AI15" s="32">
        <f>AH15/$H15-1</f>
        <v/>
      </c>
      <c r="AJ15" s="33">
        <f>RANK(AI15,AI$3:AI$51)</f>
        <v/>
      </c>
      <c r="AK15" s="48" t="n">
        <v>15.18</v>
      </c>
      <c r="AL15" s="32">
        <f>AK15/$H15-1</f>
        <v/>
      </c>
      <c r="AM15" s="33">
        <f>RANK(AL15,AL$3:AL$51)</f>
        <v/>
      </c>
      <c r="AN15" s="33">
        <f>1/(60+AF15)+1/(60+AJ15)+1/(60+AM15)</f>
        <v/>
      </c>
      <c r="AO15" s="33">
        <f>RANK(AN15,AN$3:AN$51)</f>
        <v/>
      </c>
      <c r="AP15" s="33">
        <f>(49-AF15)+(49-AJ15)+(49-AM15)</f>
        <v/>
      </c>
      <c r="AQ15" s="33">
        <f>RANK(AP15,AP$3:AP$51)</f>
        <v/>
      </c>
      <c r="AR15" s="33">
        <f>SUMPRODUCT(--(((AF15&lt;$AF$3:$AF$51)+(AJ15&lt;$AJ$3:$AJ$51)+(AM15&lt;$AM$3:$AM$51))&gt;=2))
-SUMPRODUCT(--(((AF15&gt;$AF$3:$AF$51)+(AJ15&gt;$AJ$3:$AJ$51)+(AM15&gt;$AM$3:$AM$51))&gt;=2))</f>
        <v/>
      </c>
      <c r="AS15" s="33">
        <f>RANK(AR15,AR$3:AR$51)</f>
        <v/>
      </c>
      <c r="AT15" s="37" t="n">
        <v>13</v>
      </c>
      <c r="AU15" s="33" t="n">
        <v>0.009741274135109945</v>
      </c>
    </row>
    <row r="16" ht="15.75" customHeight="1" s="45">
      <c r="A16" s="28" t="inlineStr">
        <is>
          <t>SKHY</t>
        </is>
      </c>
      <c r="B16" s="28" t="inlineStr">
        <is>
          <t>SK Hynix Inc ADR</t>
        </is>
      </c>
      <c r="C16" s="28" t="inlineStr">
        <is>
          <t>Technology</t>
        </is>
      </c>
      <c r="D16" s="28" t="inlineStr">
        <is>
          <t>Semiconductors</t>
        </is>
      </c>
      <c r="E16" s="28" t="inlineStr">
        <is>
          <t>South Korea</t>
        </is>
      </c>
      <c r="F16" s="28" t="inlineStr">
        <is>
          <t>1207.51B</t>
        </is>
      </c>
      <c r="G16" s="28" t="n">
        <v>22.61</v>
      </c>
      <c r="H16" s="28" t="n">
        <v>165.67</v>
      </c>
      <c r="I16" s="28" t="n">
        <v>0.07290000000000001</v>
      </c>
      <c r="J16" s="28" t="inlineStr">
        <is>
          <t>32,356,945</t>
        </is>
      </c>
      <c r="K16" s="28" t="n">
        <v>0.13</v>
      </c>
      <c r="L16" s="28" t="n">
        <v>111.67</v>
      </c>
      <c r="M16" s="28" t="inlineStr">
        <is>
          <t>N/A</t>
        </is>
      </c>
      <c r="N16" s="28" t="n">
        <v>0</v>
      </c>
      <c r="O16" s="28" t="n">
        <v>0</v>
      </c>
      <c r="P16" s="28" t="n">
        <v>56.84</v>
      </c>
      <c r="Q16" s="28" t="inlineStr">
        <is>
          <t>L10Y</t>
        </is>
      </c>
      <c r="R16" s="28" t="inlineStr">
        <is>
          <t>-</t>
        </is>
      </c>
      <c r="S16" s="28" t="inlineStr">
        <is>
          <t>Morningstar Korea GR KRW</t>
        </is>
      </c>
      <c r="T16" s="28" t="n">
        <v>11.04</v>
      </c>
      <c r="U16" s="28" t="n">
        <v>2.41</v>
      </c>
      <c r="V16" s="28" t="n">
        <v>10</v>
      </c>
      <c r="W16" s="28" t="n">
        <v>4.27</v>
      </c>
      <c r="X16" s="28" t="n">
        <v>22.45</v>
      </c>
      <c r="Y16" s="28" t="n">
        <v>4.63</v>
      </c>
      <c r="Z16" s="4">
        <f>VLOOKUP(C16,$C$53:$D$61,2,0)</f>
        <v/>
      </c>
      <c r="AA16" s="28">
        <f>Y16+U16*(V16-Y16)</f>
        <v/>
      </c>
      <c r="AB16" s="28">
        <f>1/((AA16-Z16)/100)</f>
        <v/>
      </c>
      <c r="AC16" s="32">
        <f>(AB16/X16)^(1/AD16)-1</f>
        <v/>
      </c>
      <c r="AD16" s="4" t="n">
        <v>7</v>
      </c>
      <c r="AE16" s="32">
        <f>N16/100+P16/100+O16/100+AC16</f>
        <v/>
      </c>
      <c r="AF16" s="33">
        <f>RANK(AE16,AE$3:AE$51)</f>
        <v/>
      </c>
      <c r="AG16" s="28">
        <f>1.16+Y16</f>
        <v/>
      </c>
      <c r="AH16" s="47">
        <f>W16*(8.5+2*P16)*4.4/AG16</f>
        <v/>
      </c>
      <c r="AI16" s="32">
        <f>AH16/$H16-1</f>
        <v/>
      </c>
      <c r="AJ16" s="33">
        <f>RANK(AI16,AI$3:AI$51)</f>
        <v/>
      </c>
      <c r="AK16" s="49" t="n">
        <v>152</v>
      </c>
      <c r="AL16" s="32">
        <f>AK16/$H16-1</f>
        <v/>
      </c>
      <c r="AM16" s="33">
        <f>RANK(AL16,AL$3:AL$51)</f>
        <v/>
      </c>
      <c r="AN16" s="33">
        <f>1/(60+AF16)+1/(60+AJ16)+1/(60+AM16)</f>
        <v/>
      </c>
      <c r="AO16" s="33">
        <f>RANK(AN16,AN$3:AN$51)</f>
        <v/>
      </c>
      <c r="AP16" s="33">
        <f>(49-AF16)+(49-AJ16)+(49-AM16)</f>
        <v/>
      </c>
      <c r="AQ16" s="33">
        <f>RANK(AP16,AP$3:AP$51)</f>
        <v/>
      </c>
      <c r="AR16" s="33">
        <f>SUMPRODUCT(--(((AF16&lt;$AF$3:$AF$51)+(AJ16&lt;$AJ$3:$AJ$51)+(AM16&lt;$AM$3:$AM$51))&gt;=2))
-SUMPRODUCT(--(((AF16&gt;$AF$3:$AF$51)+(AJ16&gt;$AJ$3:$AJ$51)+(AM16&gt;$AM$3:$AM$51))&gt;=2))</f>
        <v/>
      </c>
      <c r="AS16" s="33">
        <f>RANK(AR16,AR$3:AR$51)</f>
        <v/>
      </c>
      <c r="AT16" s="33" t="n">
        <v>14</v>
      </c>
      <c r="AU16" s="33" t="n">
        <v>0</v>
      </c>
    </row>
    <row r="17" ht="15.75" customHeight="1" s="45">
      <c r="A17" s="28" t="inlineStr">
        <is>
          <t>VRT</t>
        </is>
      </c>
      <c r="B17" s="28" t="inlineStr">
        <is>
          <t>Vertiv Holdings Co</t>
        </is>
      </c>
      <c r="C17" s="28" t="inlineStr">
        <is>
          <t>Industrials</t>
        </is>
      </c>
      <c r="D17" s="28" t="inlineStr">
        <is>
          <t>Electrical Equipment &amp; Parts</t>
        </is>
      </c>
      <c r="E17" s="28" t="inlineStr">
        <is>
          <t>USA</t>
        </is>
      </c>
      <c r="F17" s="28" t="inlineStr">
        <is>
          <t>110.52B</t>
        </is>
      </c>
      <c r="G17" s="28" t="n">
        <v>64.95999999999999</v>
      </c>
      <c r="H17" s="28" t="n">
        <v>287.07</v>
      </c>
      <c r="I17" s="28" t="n">
        <v>-0.0045</v>
      </c>
      <c r="J17" s="28" t="inlineStr">
        <is>
          <t>3,117,915</t>
        </is>
      </c>
      <c r="K17" s="28" t="n">
        <v>0.7</v>
      </c>
      <c r="L17" s="28" t="n">
        <v>41.26</v>
      </c>
      <c r="M17" s="28" t="inlineStr">
        <is>
          <t>N/A</t>
        </is>
      </c>
      <c r="N17" s="28" t="n">
        <v>0.06</v>
      </c>
      <c r="O17" s="28" t="n">
        <v>0</v>
      </c>
      <c r="P17" s="28" t="n">
        <v>111.51</v>
      </c>
      <c r="Q17" s="28" t="inlineStr">
        <is>
          <t>L5Y</t>
        </is>
      </c>
      <c r="R17" s="28" t="n">
        <v>2.06</v>
      </c>
      <c r="S17" s="28" t="inlineStr">
        <is>
          <t>Morningstar US Market TR USD</t>
        </is>
      </c>
      <c r="T17" s="28" t="n">
        <v>15.17</v>
      </c>
      <c r="U17" s="28" t="n">
        <v>2.08</v>
      </c>
      <c r="V17" s="28" t="n">
        <v>10</v>
      </c>
      <c r="W17" s="28" t="n">
        <v>4.42</v>
      </c>
      <c r="X17" s="28" t="n">
        <v>66.48</v>
      </c>
      <c r="Y17" s="28" t="n">
        <v>4.63</v>
      </c>
      <c r="Z17" s="4">
        <f>VLOOKUP(C17,$C$53:$D$61,2,0)</f>
        <v/>
      </c>
      <c r="AA17" s="28">
        <f>Y17+U17*(V17-Y17)</f>
        <v/>
      </c>
      <c r="AB17" s="28">
        <f>1/((AA17-Z17)/100)</f>
        <v/>
      </c>
      <c r="AC17" s="32">
        <f>(AB17/X17)^(1/AD17)-1</f>
        <v/>
      </c>
      <c r="AD17" s="4" t="n">
        <v>7</v>
      </c>
      <c r="AE17" s="32">
        <f>N17/100+P17/100+O17/100+AC17</f>
        <v/>
      </c>
      <c r="AF17" s="33">
        <f>RANK(AE17,AE$3:AE$51)</f>
        <v/>
      </c>
      <c r="AG17" s="28">
        <f>1.16+Y17</f>
        <v/>
      </c>
      <c r="AH17" s="47">
        <f>W17*(8.5+2*P17)*4.4/AG17</f>
        <v/>
      </c>
      <c r="AI17" s="32">
        <f>AH17/$H17-1</f>
        <v/>
      </c>
      <c r="AJ17" s="33">
        <f>RANK(AI17,AI$3:AI$51)</f>
        <v/>
      </c>
      <c r="AK17" s="49" t="n">
        <v>236</v>
      </c>
      <c r="AL17" s="32">
        <f>AK17/$H17-1</f>
        <v/>
      </c>
      <c r="AM17" s="33">
        <f>RANK(AL17,AL$3:AL$51)</f>
        <v/>
      </c>
      <c r="AN17" s="33">
        <f>1/(60+AF17)+1/(60+AJ17)+1/(60+AM17)</f>
        <v/>
      </c>
      <c r="AO17" s="33">
        <f>RANK(AN17,AN$3:AN$51)</f>
        <v/>
      </c>
      <c r="AP17" s="33">
        <f>(49-AF17)+(49-AJ17)+(49-AM17)</f>
        <v/>
      </c>
      <c r="AQ17" s="33">
        <f>RANK(AP17,AP$3:AP$51)</f>
        <v/>
      </c>
      <c r="AR17" s="33">
        <f>SUMPRODUCT(--(((AF17&lt;$AF$3:$AF$51)+(AJ17&lt;$AJ$3:$AJ$51)+(AM17&lt;$AM$3:$AM$51))&gt;=2))
-SUMPRODUCT(--(((AF17&gt;$AF$3:$AF$51)+(AJ17&gt;$AJ$3:$AJ$51)+(AM17&gt;$AM$3:$AM$51))&gt;=2))</f>
        <v/>
      </c>
      <c r="AS17" s="33">
        <f>RANK(AR17,AR$3:AR$51)</f>
        <v/>
      </c>
      <c r="AT17" s="33" t="n">
        <v>15</v>
      </c>
      <c r="AU17" s="33" t="n">
        <v>2.290439763812855e-09</v>
      </c>
    </row>
    <row r="18" ht="15.75" customHeight="1" s="45">
      <c r="A18" s="28" t="inlineStr">
        <is>
          <t>AGI</t>
        </is>
      </c>
      <c r="B18" s="28" t="inlineStr">
        <is>
          <t>Alamos Gold Inc</t>
        </is>
      </c>
      <c r="C18" s="28" t="inlineStr">
        <is>
          <t>Basic Materials</t>
        </is>
      </c>
      <c r="D18" s="28" t="inlineStr">
        <is>
          <t>Gold</t>
        </is>
      </c>
      <c r="E18" s="28" t="inlineStr">
        <is>
          <t>Canada</t>
        </is>
      </c>
      <c r="F18" s="28" t="inlineStr">
        <is>
          <t>13.75B</t>
        </is>
      </c>
      <c r="G18" s="28" t="inlineStr">
        <is>
          <t>11,82</t>
        </is>
      </c>
      <c r="H18" s="28" t="n">
        <v>32.85</v>
      </c>
      <c r="I18" s="28" t="inlineStr">
        <is>
          <t>-2,03%</t>
        </is>
      </c>
      <c r="J18" s="26" t="n">
        <v>3383182</v>
      </c>
      <c r="K18" s="28" t="n">
        <v>0.05</v>
      </c>
      <c r="L18" s="28" t="n">
        <v>102.41</v>
      </c>
      <c r="M18" s="28" t="inlineStr">
        <is>
          <t>N/A</t>
        </is>
      </c>
      <c r="N18" s="28" t="n">
        <v>0.39</v>
      </c>
      <c r="O18" s="28" t="n">
        <v>0.57</v>
      </c>
      <c r="P18" s="28" t="n">
        <v>49.9</v>
      </c>
      <c r="Q18" s="28" t="inlineStr">
        <is>
          <t>(promedio en 3 años)</t>
        </is>
      </c>
      <c r="R18" s="39" t="n">
        <v>1.33</v>
      </c>
      <c r="U18" s="28" t="n">
        <v>1.33</v>
      </c>
      <c r="V18" s="28" t="n">
        <v>10</v>
      </c>
      <c r="W18" s="29" t="n">
        <v>2.79</v>
      </c>
      <c r="X18" s="29" t="n">
        <v>11.82</v>
      </c>
      <c r="Y18" s="28" t="n">
        <v>4.63</v>
      </c>
      <c r="Z18" s="4">
        <f>VLOOKUP(C18,$C$53:$D$61,2,0)</f>
        <v/>
      </c>
      <c r="AA18" s="28">
        <f>Y18+U18*(V18-Y18)</f>
        <v/>
      </c>
      <c r="AB18" s="28">
        <f>1/((AA18-Z18)/100)</f>
        <v/>
      </c>
      <c r="AC18" s="32">
        <f>(AB18/X18)^(1/AD18)-1</f>
        <v/>
      </c>
      <c r="AD18" s="4" t="n">
        <v>7</v>
      </c>
      <c r="AE18" s="32">
        <f>N18/100+P18/100+O18/100+AC18</f>
        <v/>
      </c>
      <c r="AF18" s="33">
        <f>RANK(AE18,AE$3:AE$51)</f>
        <v/>
      </c>
      <c r="AG18" s="28">
        <f>1.16+Y18</f>
        <v/>
      </c>
      <c r="AH18" s="47">
        <f>W18*(8.5+2*P18)*4.4/AG18</f>
        <v/>
      </c>
      <c r="AI18" s="32">
        <f>AH18/$H18-1</f>
        <v/>
      </c>
      <c r="AJ18" s="33">
        <f>RANK(AI18,AI$3:AI$51)</f>
        <v/>
      </c>
      <c r="AK18" s="49" t="n">
        <v>21.84</v>
      </c>
      <c r="AL18" s="32">
        <f>AK18/$H18-1</f>
        <v/>
      </c>
      <c r="AM18" s="33">
        <f>RANK(AL18,AL$3:AL$51)</f>
        <v/>
      </c>
      <c r="AN18" s="33">
        <f>1/(60+AF18)+1/(60+AJ18)+1/(60+AM18)</f>
        <v/>
      </c>
      <c r="AO18" s="33">
        <f>RANK(AN18,AN$3:AN$51)</f>
        <v/>
      </c>
      <c r="AP18" s="33">
        <f>(49-AF18)+(49-AJ18)+(49-AM18)</f>
        <v/>
      </c>
      <c r="AQ18" s="33">
        <f>RANK(AP18,AP$3:AP$51)</f>
        <v/>
      </c>
      <c r="AR18" s="33">
        <f>SUMPRODUCT(--(((AF18&lt;$AF$3:$AF$51)+(AJ18&lt;$AJ$3:$AJ$51)+(AM18&lt;$AM$3:$AM$51))&gt;=2))
-SUMPRODUCT(--(((AF18&gt;$AF$3:$AF$51)+(AJ18&gt;$AJ$3:$AJ$51)+(AM18&gt;$AM$3:$AM$51))&gt;=2))</f>
        <v/>
      </c>
      <c r="AS18" s="33">
        <f>RANK(AR18,AR$3:AR$51)</f>
        <v/>
      </c>
      <c r="AT18" s="33" t="n">
        <v>16</v>
      </c>
      <c r="AU18" s="33" t="n">
        <v>0.0324386796856999</v>
      </c>
    </row>
    <row r="19" ht="15.75" customHeight="1" s="45">
      <c r="A19" s="28" t="inlineStr">
        <is>
          <t>TSM</t>
        </is>
      </c>
      <c r="B19" s="28" t="inlineStr">
        <is>
          <t>Taiwan Semiconductor Manufacturing ADR</t>
        </is>
      </c>
      <c r="C19" s="28" t="inlineStr">
        <is>
          <t>Technology</t>
        </is>
      </c>
      <c r="D19" s="28" t="inlineStr">
        <is>
          <t>Semiconductors</t>
        </is>
      </c>
      <c r="E19" s="28" t="inlineStr">
        <is>
          <t>Taiwan</t>
        </is>
      </c>
      <c r="F19" s="28" t="inlineStr">
        <is>
          <t>2232.73B</t>
        </is>
      </c>
      <c r="G19" s="28" t="n">
        <v>31.07</v>
      </c>
      <c r="H19" s="28" t="n">
        <v>430.49</v>
      </c>
      <c r="I19" s="28" t="n">
        <v>0.0031</v>
      </c>
      <c r="J19" s="28" t="inlineStr">
        <is>
          <t>8,184,759</t>
        </is>
      </c>
      <c r="K19" s="28" t="n">
        <v>0.16</v>
      </c>
      <c r="L19" s="28" t="n">
        <v>217.31</v>
      </c>
      <c r="M19" s="28" t="inlineStr">
        <is>
          <t>N/A</t>
        </is>
      </c>
      <c r="N19" s="28" t="n">
        <v>1.38</v>
      </c>
      <c r="O19" s="28" t="n">
        <v>0</v>
      </c>
      <c r="P19" s="28" t="n">
        <v>25.55</v>
      </c>
      <c r="Q19" s="28" t="inlineStr">
        <is>
          <t>L10Y</t>
        </is>
      </c>
      <c r="R19" s="40" t="inlineStr">
        <is>
          <t>-</t>
        </is>
      </c>
      <c r="S19" s="28" t="inlineStr">
        <is>
          <t>Morningstar Taiwan GR TWD</t>
        </is>
      </c>
      <c r="T19" s="28" t="n">
        <v>16.63</v>
      </c>
      <c r="U19" s="28" t="n">
        <v>1.26</v>
      </c>
      <c r="V19" s="28" t="n">
        <v>10</v>
      </c>
      <c r="W19" s="28" t="n">
        <v>13.41</v>
      </c>
      <c r="X19" s="28" t="n">
        <v>30.99</v>
      </c>
      <c r="Y19" s="28" t="n">
        <v>4.63</v>
      </c>
      <c r="Z19" s="4">
        <f>VLOOKUP(C19,$C$53:$D$61,2,0)</f>
        <v/>
      </c>
      <c r="AA19" s="28">
        <f>Y19+U19*(V19-Y19)</f>
        <v/>
      </c>
      <c r="AB19" s="28">
        <f>1/((AA19-Z19)/100)</f>
        <v/>
      </c>
      <c r="AC19" s="32">
        <f>(AB19/X19)^(1/AD19)-1</f>
        <v/>
      </c>
      <c r="AD19" s="4" t="n">
        <v>7</v>
      </c>
      <c r="AE19" s="32">
        <f>N19/100+P19/100+O19/100+AC19</f>
        <v/>
      </c>
      <c r="AF19" s="33">
        <f>RANK(AE19,AE$3:AE$51)</f>
        <v/>
      </c>
      <c r="AG19" s="28">
        <f>1.16+Y19</f>
        <v/>
      </c>
      <c r="AH19" s="47">
        <f>W19*(8.5+2*P19)*4.4/AG19</f>
        <v/>
      </c>
      <c r="AI19" s="32">
        <f>AH19/$H19-1</f>
        <v/>
      </c>
      <c r="AJ19" s="33">
        <f>RANK(AI19,AI$3:AI$51)</f>
        <v/>
      </c>
      <c r="AK19" s="49" t="n">
        <v>534</v>
      </c>
      <c r="AL19" s="32">
        <f>AK19/$H19-1</f>
        <v/>
      </c>
      <c r="AM19" s="33">
        <f>RANK(AL19,AL$3:AL$51)</f>
        <v/>
      </c>
      <c r="AN19" s="33">
        <f>1/(60+AF19)+1/(60+AJ19)+1/(60+AM19)</f>
        <v/>
      </c>
      <c r="AO19" s="33">
        <f>RANK(AN19,AN$3:AN$51)</f>
        <v/>
      </c>
      <c r="AP19" s="33">
        <f>(49-AF19)+(49-AJ19)+(49-AM19)</f>
        <v/>
      </c>
      <c r="AQ19" s="33">
        <f>RANK(AP19,AP$3:AP$51)</f>
        <v/>
      </c>
      <c r="AR19" s="33">
        <f>SUMPRODUCT(--(((AF19&lt;$AF$3:$AF$51)+(AJ19&lt;$AJ$3:$AJ$51)+(AM19&lt;$AM$3:$AM$51))&gt;=2))
-SUMPRODUCT(--(((AF19&gt;$AF$3:$AF$51)+(AJ19&gt;$AJ$3:$AJ$51)+(AM19&gt;$AM$3:$AM$51))&gt;=2))</f>
        <v/>
      </c>
      <c r="AS19" s="33">
        <f>RANK(AR19,AR$3:AR$51)</f>
        <v/>
      </c>
      <c r="AT19" s="37" t="n">
        <v>17</v>
      </c>
      <c r="AU19" s="33" t="n">
        <v>2.115661707908568e-08</v>
      </c>
    </row>
    <row r="20" ht="15.75" customHeight="1" s="45">
      <c r="A20" s="28" t="inlineStr">
        <is>
          <t>HMY</t>
        </is>
      </c>
      <c r="B20" s="28" t="inlineStr">
        <is>
          <t>Harmony Gold Mining Co Ltd ADR</t>
        </is>
      </c>
      <c r="C20" s="28" t="inlineStr">
        <is>
          <t>Basic Materials</t>
        </is>
      </c>
      <c r="D20" s="28" t="inlineStr">
        <is>
          <t>Gold</t>
        </is>
      </c>
      <c r="E20" s="28" t="inlineStr">
        <is>
          <t>South Africa</t>
        </is>
      </c>
      <c r="F20" s="28" t="inlineStr">
        <is>
          <t>12.03B</t>
        </is>
      </c>
      <c r="G20" s="28" t="n">
        <v>13.3</v>
      </c>
      <c r="H20" s="28" t="n">
        <v>19.26</v>
      </c>
      <c r="I20" s="28" t="n">
        <v>-302</v>
      </c>
      <c r="J20" s="28" t="inlineStr">
        <is>
          <t>2.690.432</t>
        </is>
      </c>
      <c r="K20" s="28" t="n">
        <v>0.05</v>
      </c>
      <c r="L20" s="28" t="n">
        <v>22.98</v>
      </c>
      <c r="M20" s="28" t="inlineStr">
        <is>
          <t>N/A</t>
        </is>
      </c>
      <c r="N20" s="28" t="n">
        <v>2.1</v>
      </c>
      <c r="O20" s="28" t="n">
        <v>0</v>
      </c>
      <c r="P20" s="28" t="n">
        <v>18.8</v>
      </c>
      <c r="Q20" s="28" t="inlineStr">
        <is>
          <t>10 años (dato de 2021 que coincide con datos mas recientes)</t>
        </is>
      </c>
      <c r="R20" s="29" t="n">
        <v>1.73</v>
      </c>
      <c r="U20" s="4" t="n">
        <v>0.79</v>
      </c>
      <c r="V20" s="28" t="n">
        <v>10</v>
      </c>
      <c r="W20" s="29" t="n">
        <v>22.88</v>
      </c>
      <c r="X20" s="29" t="n">
        <v>13.3</v>
      </c>
      <c r="Y20" s="28" t="n">
        <v>4.63</v>
      </c>
      <c r="Z20" s="4">
        <f>VLOOKUP(C20,$C$53:$D$61,2,0)</f>
        <v/>
      </c>
      <c r="AA20" s="28">
        <f>Y20+U20*(V20-Y20)</f>
        <v/>
      </c>
      <c r="AB20" s="28">
        <f>1/((AA20-Z20)/100)</f>
        <v/>
      </c>
      <c r="AC20" s="32">
        <f>(AB20/X20)^(1/AD20)-1</f>
        <v/>
      </c>
      <c r="AD20" s="4" t="n">
        <v>7</v>
      </c>
      <c r="AE20" s="32">
        <f>N20/100+P20/100+O20/100+AC20</f>
        <v/>
      </c>
      <c r="AF20" s="33">
        <f>RANK(AE20,AE$3:AE$51)</f>
        <v/>
      </c>
      <c r="AG20" s="28">
        <f>1.16+Y20</f>
        <v/>
      </c>
      <c r="AH20" s="47">
        <f>W20*(8.5+2*P20)*4.4/AG20</f>
        <v/>
      </c>
      <c r="AI20" s="32">
        <f>AH20/$H20-1</f>
        <v/>
      </c>
      <c r="AJ20" s="33">
        <f>RANK(AI20,AI$3:AI$51)</f>
        <v/>
      </c>
      <c r="AK20" s="48" t="n">
        <v>15.64</v>
      </c>
      <c r="AL20" s="32">
        <f>AK20/$H20-1</f>
        <v/>
      </c>
      <c r="AM20" s="33">
        <f>RANK(AL20,AL$3:AL$51)</f>
        <v/>
      </c>
      <c r="AN20" s="33">
        <f>1/(60+AF20)+1/(60+AJ20)+1/(60+AM20)</f>
        <v/>
      </c>
      <c r="AO20" s="33">
        <f>RANK(AN20,AN$3:AN$51)</f>
        <v/>
      </c>
      <c r="AP20" s="33">
        <f>(49-AF20)+(49-AJ20)+(49-AM20)</f>
        <v/>
      </c>
      <c r="AQ20" s="33">
        <f>RANK(AP20,AP$3:AP$51)</f>
        <v/>
      </c>
      <c r="AR20" s="33">
        <f>SUMPRODUCT(--(((AF20&lt;$AF$3:$AF$51)+(AJ20&lt;$AJ$3:$AJ$51)+(AM20&lt;$AM$3:$AM$51))&gt;=2))
-SUMPRODUCT(--(((AF20&gt;$AF$3:$AF$51)+(AJ20&gt;$AJ$3:$AJ$51)+(AM20&gt;$AM$3:$AM$51))&gt;=2))</f>
        <v/>
      </c>
      <c r="AS20" s="33">
        <f>RANK(AR20,AR$3:AR$51)</f>
        <v/>
      </c>
      <c r="AT20" s="33" t="n">
        <v>18</v>
      </c>
      <c r="AU20" s="33" t="n">
        <v>4.700139169023454e-09</v>
      </c>
    </row>
    <row r="21" ht="15.75" customHeight="1" s="45">
      <c r="A21" s="28" t="inlineStr">
        <is>
          <t>AUGO</t>
        </is>
      </c>
      <c r="B21" s="28" t="inlineStr">
        <is>
          <t>Aura Minerals Inc</t>
        </is>
      </c>
      <c r="C21" s="28" t="inlineStr">
        <is>
          <t>Basic Materials</t>
        </is>
      </c>
      <c r="D21" s="28" t="inlineStr">
        <is>
          <t>Gold</t>
        </is>
      </c>
      <c r="E21" s="28" t="inlineStr">
        <is>
          <t>USA</t>
        </is>
      </c>
      <c r="F21" s="28" t="inlineStr">
        <is>
          <t>6.27B</t>
        </is>
      </c>
      <c r="G21" s="28" t="inlineStr">
        <is>
          <t>21,24</t>
        </is>
      </c>
      <c r="H21" s="28" t="n">
        <v>74.84999999999999</v>
      </c>
      <c r="I21" s="28" t="inlineStr">
        <is>
          <t>-3,46%</t>
        </is>
      </c>
      <c r="J21" s="26" t="n">
        <v>667318</v>
      </c>
      <c r="K21" s="28" t="n">
        <v>1</v>
      </c>
      <c r="L21" s="28" t="n">
        <v>12.85</v>
      </c>
      <c r="M21" s="28" t="inlineStr">
        <is>
          <t>N/A</t>
        </is>
      </c>
      <c r="N21" s="28" t="n">
        <v>2.96</v>
      </c>
      <c r="O21" s="28" t="n">
        <v>0</v>
      </c>
      <c r="P21" s="28" t="n">
        <v>48</v>
      </c>
      <c r="Q21" s="28" t="inlineStr">
        <is>
          <t>(promedio en 5 años)</t>
        </is>
      </c>
      <c r="R21" s="39" t="n">
        <v>0.29</v>
      </c>
      <c r="U21" s="41">
        <f>IF(E21="USA",R21,"completar")</f>
        <v/>
      </c>
      <c r="V21" s="28" t="n">
        <v>10</v>
      </c>
      <c r="W21" s="29" t="n">
        <v>3.57</v>
      </c>
      <c r="X21" s="29" t="n">
        <v>21.24</v>
      </c>
      <c r="Y21" s="28" t="n">
        <v>4.63</v>
      </c>
      <c r="Z21" s="4">
        <f>VLOOKUP(C21,$C$53:$D$61,2,0)</f>
        <v/>
      </c>
      <c r="AA21" s="28">
        <f>Y21+U21*(V21-Y21)</f>
        <v/>
      </c>
      <c r="AB21" s="28">
        <f>1/((AA21-Z21)/100)</f>
        <v/>
      </c>
      <c r="AC21" s="32">
        <f>(AB21/X21)^(1/AD21)-1</f>
        <v/>
      </c>
      <c r="AD21" s="4" t="n">
        <v>7</v>
      </c>
      <c r="AE21" s="32">
        <f>N21/100+P21/100+O21/100+AC21</f>
        <v/>
      </c>
      <c r="AF21" s="33">
        <f>RANK(AE21,AE$3:AE$51)</f>
        <v/>
      </c>
      <c r="AG21" s="28">
        <f>1.16+Y21</f>
        <v/>
      </c>
      <c r="AH21" s="47">
        <f>W21*(8.5+2*P21)*4.4/AG21</f>
        <v/>
      </c>
      <c r="AI21" s="32">
        <f>AH21/$H21-1</f>
        <v/>
      </c>
      <c r="AJ21" s="33">
        <f>RANK(AI21,AI$3:AI$51)</f>
        <v/>
      </c>
      <c r="AK21" s="49" t="n">
        <v>41.91</v>
      </c>
      <c r="AL21" s="32">
        <f>AK21/$H21-1</f>
        <v/>
      </c>
      <c r="AM21" s="33">
        <f>RANK(AL21,AL$3:AL$51)</f>
        <v/>
      </c>
      <c r="AN21" s="33">
        <f>1/(60+AF21)+1/(60+AJ21)+1/(60+AM21)</f>
        <v/>
      </c>
      <c r="AO21" s="33">
        <f>RANK(AN21,AN$3:AN$51)</f>
        <v/>
      </c>
      <c r="AP21" s="33">
        <f>(49-AF21)+(49-AJ21)+(49-AM21)</f>
        <v/>
      </c>
      <c r="AQ21" s="33">
        <f>RANK(AP21,AP$3:AP$51)</f>
        <v/>
      </c>
      <c r="AR21" s="33">
        <f>SUMPRODUCT(--(((AF21&lt;$AF$3:$AF$51)+(AJ21&lt;$AJ$3:$AJ$51)+(AM21&lt;$AM$3:$AM$51))&gt;=2))
-SUMPRODUCT(--(((AF21&gt;$AF$3:$AF$51)+(AJ21&gt;$AJ$3:$AJ$51)+(AM21&gt;$AM$3:$AM$51))&gt;=2))</f>
        <v/>
      </c>
      <c r="AS21" s="33">
        <f>RANK(AR21,AR$3:AR$51)</f>
        <v/>
      </c>
      <c r="AT21" s="33" t="n">
        <v>19</v>
      </c>
      <c r="AU21" s="33" t="n">
        <v>0</v>
      </c>
    </row>
    <row r="22" ht="15.75" customHeight="1" s="45">
      <c r="A22" s="28" t="inlineStr">
        <is>
          <t>AU</t>
        </is>
      </c>
      <c r="B22" s="28" t="inlineStr">
        <is>
          <t>AngloGold Ashanti Plc</t>
        </is>
      </c>
      <c r="C22" s="28" t="inlineStr">
        <is>
          <t>Basic Materials</t>
        </is>
      </c>
      <c r="D22" s="28" t="inlineStr">
        <is>
          <t>Gold</t>
        </is>
      </c>
      <c r="E22" s="28" t="inlineStr">
        <is>
          <t>USA</t>
        </is>
      </c>
      <c r="F22" s="28" t="inlineStr">
        <is>
          <t>48.01B</t>
        </is>
      </c>
      <c r="G22" s="28" t="inlineStr">
        <is>
          <t>12,72</t>
        </is>
      </c>
      <c r="H22" s="28" t="n">
        <v>95.06999999999999</v>
      </c>
      <c r="I22" s="28" t="inlineStr">
        <is>
          <t>-2,91%</t>
        </is>
      </c>
      <c r="J22" s="26" t="n">
        <v>1718503</v>
      </c>
      <c r="K22" s="28" t="n">
        <v>0.17</v>
      </c>
      <c r="L22" s="28" t="n">
        <v>24.12</v>
      </c>
      <c r="M22" s="28" t="inlineStr">
        <is>
          <t>N/A</t>
        </is>
      </c>
      <c r="N22" s="28" t="n">
        <v>4.81</v>
      </c>
      <c r="O22" s="28" t="n">
        <v>0</v>
      </c>
      <c r="P22" s="28" t="n">
        <v>38.83</v>
      </c>
      <c r="Q22" s="28" t="inlineStr">
        <is>
          <t>(promedio en 5 años)</t>
        </is>
      </c>
      <c r="R22" s="39" t="n">
        <v>0.7</v>
      </c>
      <c r="U22" s="41">
        <f>IF(E22="USA",R22,"completar")</f>
        <v/>
      </c>
      <c r="V22" s="28" t="n">
        <v>10</v>
      </c>
      <c r="W22" s="29" t="n">
        <v>7.46</v>
      </c>
      <c r="X22" s="29" t="n">
        <v>12.72</v>
      </c>
      <c r="Y22" s="28" t="n">
        <v>4.63</v>
      </c>
      <c r="Z22" s="4">
        <f>VLOOKUP(C22,$C$53:$D$61,2,0)</f>
        <v/>
      </c>
      <c r="AA22" s="28">
        <f>Y22+U22*(V22-Y22)</f>
        <v/>
      </c>
      <c r="AB22" s="28">
        <f>1/((AA22-Z22)/100)</f>
        <v/>
      </c>
      <c r="AC22" s="32">
        <f>(AB22/X22)^(1/AD22)-1</f>
        <v/>
      </c>
      <c r="AD22" s="4" t="n">
        <v>7</v>
      </c>
      <c r="AE22" s="32">
        <f>N22/100+P22/100+O22/100+AC22</f>
        <v/>
      </c>
      <c r="AF22" s="33">
        <f>RANK(AE22,AE$3:AE$51)</f>
        <v/>
      </c>
      <c r="AG22" s="28">
        <f>1.16+Y22</f>
        <v/>
      </c>
      <c r="AH22" s="47">
        <f>W22*(8.5+2*P22)*4.4/AG22</f>
        <v/>
      </c>
      <c r="AI22" s="32">
        <f>AH22/$H22-1</f>
        <v/>
      </c>
      <c r="AJ22" s="33">
        <f>RANK(AI22,AI$3:AI$51)</f>
        <v/>
      </c>
      <c r="AK22" s="49" t="n">
        <v>56.47</v>
      </c>
      <c r="AL22" s="32">
        <f>AK22/$H22-1</f>
        <v/>
      </c>
      <c r="AM22" s="33">
        <f>RANK(AL22,AL$3:AL$51)</f>
        <v/>
      </c>
      <c r="AN22" s="33">
        <f>1/(60+AF22)+1/(60+AJ22)+1/(60+AM22)</f>
        <v/>
      </c>
      <c r="AO22" s="33">
        <f>RANK(AN22,AN$3:AN$51)</f>
        <v/>
      </c>
      <c r="AP22" s="33">
        <f>(49-AF22)+(49-AJ22)+(49-AM22)</f>
        <v/>
      </c>
      <c r="AQ22" s="33">
        <f>RANK(AP22,AP$3:AP$51)</f>
        <v/>
      </c>
      <c r="AR22" s="33">
        <f>SUMPRODUCT(--(((AF22&lt;$AF$3:$AF$51)+(AJ22&lt;$AJ$3:$AJ$51)+(AM22&lt;$AM$3:$AM$51))&gt;=2))
-SUMPRODUCT(--(((AF22&gt;$AF$3:$AF$51)+(AJ22&gt;$AJ$3:$AJ$51)+(AM22&gt;$AM$3:$AM$51))&gt;=2))</f>
        <v/>
      </c>
      <c r="AS22" s="33">
        <f>RANK(AR22,AR$3:AR$51)</f>
        <v/>
      </c>
      <c r="AT22" s="37" t="n">
        <v>20</v>
      </c>
      <c r="AU22" s="33" t="n">
        <v>1.18704415638058e-08</v>
      </c>
    </row>
    <row r="23" ht="15.75" customHeight="1" s="45">
      <c r="A23" s="28" t="inlineStr">
        <is>
          <t>NUTX</t>
        </is>
      </c>
      <c r="B23" s="28" t="inlineStr">
        <is>
          <t>Nutex Health Inc</t>
        </is>
      </c>
      <c r="C23" s="28" t="inlineStr">
        <is>
          <t>Healthcare</t>
        </is>
      </c>
      <c r="D23" s="28" t="inlineStr">
        <is>
          <t>Medical Care Facilities</t>
        </is>
      </c>
      <c r="E23" s="28" t="inlineStr">
        <is>
          <t>USA</t>
        </is>
      </c>
      <c r="F23" s="28" t="inlineStr">
        <is>
          <t>1.28B</t>
        </is>
      </c>
      <c r="G23" s="28" t="inlineStr">
        <is>
          <t>7,39</t>
        </is>
      </c>
      <c r="H23" s="28" t="n">
        <v>186.81</v>
      </c>
      <c r="I23" s="28" t="inlineStr">
        <is>
          <t>8,33%</t>
        </is>
      </c>
      <c r="J23" s="26" t="n">
        <v>189907</v>
      </c>
      <c r="K23" s="28" t="n">
        <v>0.68</v>
      </c>
      <c r="L23" s="28" t="n">
        <v>18.36</v>
      </c>
      <c r="M23" s="28" t="inlineStr">
        <is>
          <t>N/A</t>
        </is>
      </c>
      <c r="N23" s="28" t="n">
        <v>0</v>
      </c>
      <c r="O23" s="28" t="n">
        <v>4.34</v>
      </c>
      <c r="P23" s="28" t="n">
        <v>8.27</v>
      </c>
      <c r="Q23" s="28" t="inlineStr">
        <is>
          <t>Promedio en 5 años</t>
        </is>
      </c>
      <c r="R23" s="29" t="n">
        <v>2.58</v>
      </c>
      <c r="U23" s="28">
        <f>IF(E23="USA",R23,"completar")</f>
        <v/>
      </c>
      <c r="V23" s="28" t="n">
        <v>10</v>
      </c>
      <c r="W23" s="29" t="n">
        <v>26.31</v>
      </c>
      <c r="X23" s="29" t="n">
        <v>7.41</v>
      </c>
      <c r="Y23" s="28" t="n">
        <v>4.63</v>
      </c>
      <c r="Z23" s="4">
        <f>VLOOKUP(C23,$C$53:$D$61,2,0)</f>
        <v/>
      </c>
      <c r="AA23" s="28">
        <f>Y23+U23*(V23-Y23)</f>
        <v/>
      </c>
      <c r="AB23" s="28">
        <f>1/((AA23-Z23)/100)</f>
        <v/>
      </c>
      <c r="AC23" s="32">
        <f>(AB23/X23)^(1/AD23)-1</f>
        <v/>
      </c>
      <c r="AD23" s="4" t="n">
        <v>7</v>
      </c>
      <c r="AE23" s="32">
        <f>N23/100+P23/100+O23/100+AC23</f>
        <v/>
      </c>
      <c r="AF23" s="33">
        <f>RANK(AE23,AE$3:AE$51)</f>
        <v/>
      </c>
      <c r="AG23" s="28">
        <f>1.16+Y23</f>
        <v/>
      </c>
      <c r="AH23" s="47">
        <f>W23*(8.5+2*P23)*4.4/AG23</f>
        <v/>
      </c>
      <c r="AI23" s="32">
        <f>AH23/$H23-1</f>
        <v/>
      </c>
      <c r="AJ23" s="33">
        <f>RANK(AI23,AI$3:AI$51)</f>
        <v/>
      </c>
      <c r="AK23" s="48" t="n">
        <v>202.06</v>
      </c>
      <c r="AL23" s="32">
        <f>AK23/$H23-1</f>
        <v/>
      </c>
      <c r="AM23" s="33">
        <f>RANK(AL23,AL$3:AL$51)</f>
        <v/>
      </c>
      <c r="AN23" s="33">
        <f>1/(60+AF23)+1/(60+AJ23)+1/(60+AM23)</f>
        <v/>
      </c>
      <c r="AO23" s="33">
        <f>RANK(AN23,AN$3:AN$51)</f>
        <v/>
      </c>
      <c r="AP23" s="33">
        <f>(49-AF23)+(49-AJ23)+(49-AM23)</f>
        <v/>
      </c>
      <c r="AQ23" s="33">
        <f>RANK(AP23,AP$3:AP$51)</f>
        <v/>
      </c>
      <c r="AR23" s="33">
        <f>SUMPRODUCT(--(((AF23&lt;$AF$3:$AF$51)+(AJ23&lt;$AJ$3:$AJ$51)+(AM23&lt;$AM$3:$AM$51))&gt;=2))
-SUMPRODUCT(--(((AF23&gt;$AF$3:$AF$51)+(AJ23&gt;$AJ$3:$AJ$51)+(AM23&gt;$AM$3:$AM$51))&gt;=2))</f>
        <v/>
      </c>
      <c r="AS23" s="33">
        <f>RANK(AR23,AR$3:AR$51)</f>
        <v/>
      </c>
      <c r="AT23" s="33" t="n">
        <v>21</v>
      </c>
      <c r="AU23" s="33" t="n">
        <v>5.579011862876001e-09</v>
      </c>
    </row>
    <row r="24" ht="15.75" customHeight="1" s="45">
      <c r="A24" s="28" t="inlineStr">
        <is>
          <t>ANET</t>
        </is>
      </c>
      <c r="B24" s="28" t="inlineStr">
        <is>
          <t>Arista Networks Inc</t>
        </is>
      </c>
      <c r="C24" s="28" t="inlineStr">
        <is>
          <t>Technology</t>
        </is>
      </c>
      <c r="D24" s="28" t="inlineStr">
        <is>
          <t>Computer Hardware</t>
        </is>
      </c>
      <c r="E24" s="28" t="inlineStr">
        <is>
          <t>USA</t>
        </is>
      </c>
      <c r="F24" s="28" t="inlineStr">
        <is>
          <t>256.81B</t>
        </is>
      </c>
      <c r="G24" s="28" t="inlineStr">
        <is>
          <t>64,2</t>
        </is>
      </c>
      <c r="H24" s="28" t="n">
        <v>203.62</v>
      </c>
      <c r="I24" s="28" t="inlineStr">
        <is>
          <t>-3,27%</t>
        </is>
      </c>
      <c r="J24" s="26" t="n">
        <v>7906624</v>
      </c>
      <c r="K24" s="28" t="n">
        <v>0</v>
      </c>
      <c r="L24" s="4" t="n">
        <v>0</v>
      </c>
      <c r="M24" s="28" t="inlineStr">
        <is>
          <t>N/A</t>
        </is>
      </c>
      <c r="N24" s="28" t="n">
        <v>0</v>
      </c>
      <c r="O24" s="28" t="n">
        <v>0.24</v>
      </c>
      <c r="P24" s="28" t="n">
        <v>39.88</v>
      </c>
      <c r="Q24" s="28" t="inlineStr">
        <is>
          <t>(promedio en 10 años)</t>
        </is>
      </c>
      <c r="R24" s="39" t="n">
        <v>1.62</v>
      </c>
      <c r="U24" s="41">
        <f>IF(E24="USA",R24,"completar")</f>
        <v/>
      </c>
      <c r="V24" s="28" t="n">
        <v>10</v>
      </c>
      <c r="W24" s="29" t="n">
        <v>3.16</v>
      </c>
      <c r="X24" s="29" t="n">
        <v>64.2</v>
      </c>
      <c r="Y24" s="28" t="n">
        <v>4.63</v>
      </c>
      <c r="Z24" s="4">
        <f>VLOOKUP(C24,$C$53:$D$61,2,0)</f>
        <v/>
      </c>
      <c r="AA24" s="28">
        <f>Y24+U24*(V24-Y24)</f>
        <v/>
      </c>
      <c r="AB24" s="28">
        <f>1/((AA24-Z24)/100)</f>
        <v/>
      </c>
      <c r="AC24" s="32">
        <f>(AB24/X24)^(1/AD24)-1</f>
        <v/>
      </c>
      <c r="AD24" s="4" t="n">
        <v>7</v>
      </c>
      <c r="AE24" s="32">
        <f>N24/100+P24/100+O24/100+AC24</f>
        <v/>
      </c>
      <c r="AF24" s="33">
        <f>RANK(AE24,AE$3:AE$51)</f>
        <v/>
      </c>
      <c r="AG24" s="28">
        <f>1.16+Y24</f>
        <v/>
      </c>
      <c r="AH24" s="47">
        <f>W24*(8.5+2*P24)*4.4/AG24</f>
        <v/>
      </c>
      <c r="AI24" s="32">
        <f>AH24/$H24-1</f>
        <v/>
      </c>
      <c r="AJ24" s="33">
        <f>RANK(AI24,AI$3:AI$51)</f>
        <v/>
      </c>
      <c r="AK24" s="49" t="n">
        <v>230</v>
      </c>
      <c r="AL24" s="32">
        <f>AK24/$H24-1</f>
        <v/>
      </c>
      <c r="AM24" s="33">
        <f>RANK(AL24,AL$3:AL$51)</f>
        <v/>
      </c>
      <c r="AN24" s="33">
        <f>1/(60+AF24)+1/(60+AJ24)+1/(60+AM24)</f>
        <v/>
      </c>
      <c r="AO24" s="33">
        <f>RANK(AN24,AN$3:AN$51)</f>
        <v/>
      </c>
      <c r="AP24" s="33">
        <f>(49-AF24)+(49-AJ24)+(49-AM24)</f>
        <v/>
      </c>
      <c r="AQ24" s="33">
        <f>RANK(AP24,AP$3:AP$51)</f>
        <v/>
      </c>
      <c r="AR24" s="33">
        <f>SUMPRODUCT(--(((AF24&lt;$AF$3:$AF$51)+(AJ24&lt;$AJ$3:$AJ$51)+(AM24&lt;$AM$3:$AM$51))&gt;=2))
-SUMPRODUCT(--(((AF24&gt;$AF$3:$AF$51)+(AJ24&gt;$AJ$3:$AJ$51)+(AM24&gt;$AM$3:$AM$51))&gt;=2))</f>
        <v/>
      </c>
      <c r="AS24" s="33">
        <f>RANK(AR24,AR$3:AR$51)</f>
        <v/>
      </c>
      <c r="AT24" s="33" t="n">
        <v>22</v>
      </c>
      <c r="AU24" s="33" t="n">
        <v>3.141926986825739e-09</v>
      </c>
    </row>
    <row r="25" ht="15.75" customHeight="1" s="45">
      <c r="A25" s="28" t="inlineStr">
        <is>
          <t>B</t>
        </is>
      </c>
      <c r="B25" s="28" t="inlineStr">
        <is>
          <t>Barrick Mining Corp</t>
        </is>
      </c>
      <c r="C25" s="28" t="inlineStr">
        <is>
          <t>Basic Materials</t>
        </is>
      </c>
      <c r="D25" s="28" t="inlineStr">
        <is>
          <t>Gold</t>
        </is>
      </c>
      <c r="E25" s="28" t="inlineStr">
        <is>
          <t>Canada</t>
        </is>
      </c>
      <c r="F25" s="28" t="inlineStr">
        <is>
          <t>68.55B</t>
        </is>
      </c>
      <c r="G25" s="28" t="inlineStr">
        <is>
          <t>10,52</t>
        </is>
      </c>
      <c r="H25" s="28" t="n">
        <v>40.91</v>
      </c>
      <c r="I25" s="28" t="inlineStr">
        <is>
          <t>-0,78%</t>
        </is>
      </c>
      <c r="J25" s="26" t="n">
        <v>10623000</v>
      </c>
      <c r="K25" s="28" t="n">
        <v>0.13</v>
      </c>
      <c r="L25" s="28" t="n">
        <v>41.26</v>
      </c>
      <c r="M25" s="28" t="inlineStr">
        <is>
          <t>N/A</t>
        </is>
      </c>
      <c r="N25" s="28" t="n">
        <v>2.24</v>
      </c>
      <c r="O25" s="28" t="n">
        <v>3.33</v>
      </c>
      <c r="P25" s="28" t="n">
        <v>19.79</v>
      </c>
      <c r="Q25" s="28" t="inlineStr">
        <is>
          <t>promedio en 10 años</t>
        </is>
      </c>
      <c r="R25" s="39" t="n">
        <v>1.1</v>
      </c>
      <c r="U25" s="41" t="n">
        <v>1.11</v>
      </c>
      <c r="V25" s="28" t="n">
        <v>10</v>
      </c>
      <c r="W25" s="29" t="n">
        <v>3.87</v>
      </c>
      <c r="X25" s="29" t="n">
        <v>10.52</v>
      </c>
      <c r="Y25" s="28" t="n">
        <v>4.63</v>
      </c>
      <c r="Z25" s="4">
        <f>VLOOKUP(C25,$C$53:$D$61,2,0)</f>
        <v/>
      </c>
      <c r="AA25" s="28">
        <f>Y25+U25*(V25-Y25)</f>
        <v/>
      </c>
      <c r="AB25" s="28">
        <f>1/((AA25-Z25)/100)</f>
        <v/>
      </c>
      <c r="AC25" s="32">
        <f>(AB25/X25)^(1/AD25)-1</f>
        <v/>
      </c>
      <c r="AD25" s="4" t="n">
        <v>7</v>
      </c>
      <c r="AE25" s="32">
        <f>N25/100+P25/100+O25/100+AC25</f>
        <v/>
      </c>
      <c r="AF25" s="33">
        <f>RANK(AE25,AE$3:AE$51)</f>
        <v/>
      </c>
      <c r="AG25" s="28">
        <f>1.16+Y25</f>
        <v/>
      </c>
      <c r="AH25" s="47">
        <f>W25*(8.5+2*P25)*4.4/AG25</f>
        <v/>
      </c>
      <c r="AI25" s="32">
        <f>AH25/$H25-1</f>
        <v/>
      </c>
      <c r="AJ25" s="33">
        <f>RANK(AI25,AI$3:AI$51)</f>
        <v/>
      </c>
      <c r="AK25" s="49" t="n">
        <v>29</v>
      </c>
      <c r="AL25" s="32">
        <f>AK25/$H25-1</f>
        <v/>
      </c>
      <c r="AM25" s="33">
        <f>RANK(AL25,AL$3:AL$51)</f>
        <v/>
      </c>
      <c r="AN25" s="33">
        <f>1/(60+AF25)+1/(60+AJ25)+1/(60+AM25)</f>
        <v/>
      </c>
      <c r="AO25" s="33">
        <f>RANK(AN25,AN$3:AN$51)</f>
        <v/>
      </c>
      <c r="AP25" s="33">
        <f>(49-AF25)+(49-AJ25)+(49-AM25)</f>
        <v/>
      </c>
      <c r="AQ25" s="33">
        <f>RANK(AP25,AP$3:AP$51)</f>
        <v/>
      </c>
      <c r="AR25" s="33">
        <f>SUMPRODUCT(--(((AF25&lt;$AF$3:$AF$51)+(AJ25&lt;$AJ$3:$AJ$51)+(AM25&lt;$AM$3:$AM$51))&gt;=2))
-SUMPRODUCT(--(((AF25&gt;$AF$3:$AF$51)+(AJ25&gt;$AJ$3:$AJ$51)+(AM25&gt;$AM$3:$AM$51))&gt;=2))</f>
        <v/>
      </c>
      <c r="AS25" s="33">
        <f>RANK(AR25,AR$3:AR$51)</f>
        <v/>
      </c>
      <c r="AT25" s="33" t="n">
        <v>23</v>
      </c>
      <c r="AU25" s="33" t="n">
        <v>4.66051057745841e-08</v>
      </c>
    </row>
    <row r="26" ht="15.75" customHeight="1" s="45">
      <c r="A26" s="28" t="inlineStr">
        <is>
          <t>CARE</t>
        </is>
      </c>
      <c r="B26" s="28" t="inlineStr">
        <is>
          <t>Carter Bankshares Inc</t>
        </is>
      </c>
      <c r="C26" s="28" t="inlineStr">
        <is>
          <t>Financial</t>
        </is>
      </c>
      <c r="D26" s="28" t="inlineStr">
        <is>
          <t>Banks - Regional</t>
        </is>
      </c>
      <c r="E26" s="28" t="inlineStr">
        <is>
          <t>USA</t>
        </is>
      </c>
      <c r="F26" s="28" t="inlineStr">
        <is>
          <t>724.32M</t>
        </is>
      </c>
      <c r="G26" s="28" t="inlineStr">
        <is>
          <t>5,63</t>
        </is>
      </c>
      <c r="H26" s="28" t="n">
        <v>32.68</v>
      </c>
      <c r="I26" s="28" t="inlineStr">
        <is>
          <t>1,05%</t>
        </is>
      </c>
      <c r="J26" s="26" t="n">
        <v>394173</v>
      </c>
      <c r="K26" s="28" t="n">
        <v>7.79</v>
      </c>
      <c r="L26" s="28">
        <f>M26</f>
        <v/>
      </c>
      <c r="M26" s="4" t="n">
        <v>14.26</v>
      </c>
      <c r="N26" s="28" t="n">
        <v>0.61</v>
      </c>
      <c r="O26" s="28" t="n">
        <v>1.82</v>
      </c>
      <c r="P26" s="28" t="n">
        <v>18.5</v>
      </c>
      <c r="R26" s="39" t="n">
        <v>0.52</v>
      </c>
      <c r="U26" s="41">
        <f>IF(E26="USA",R26,"completar")</f>
        <v/>
      </c>
      <c r="V26" s="28" t="n">
        <v>10</v>
      </c>
      <c r="W26" s="42" t="n">
        <v>1.38</v>
      </c>
      <c r="X26" s="29" t="n">
        <v>5.63</v>
      </c>
      <c r="Y26" s="28" t="n">
        <v>4.63</v>
      </c>
      <c r="Z26" s="4">
        <f>VLOOKUP(C26,$C$53:$D$61,2,0)</f>
        <v/>
      </c>
      <c r="AA26" s="28">
        <f>Y26+U26*(V26-Y26)</f>
        <v/>
      </c>
      <c r="AB26" s="28">
        <f>1/((AA26-Z26)/100)</f>
        <v/>
      </c>
      <c r="AC26" s="32">
        <f>(AB26/X26)^(1/AD26)-1</f>
        <v/>
      </c>
      <c r="AD26" s="4" t="n">
        <v>7</v>
      </c>
      <c r="AE26" s="32">
        <f>N26/100+P26/100+O26/100+AC26</f>
        <v/>
      </c>
      <c r="AF26" s="33">
        <f>RANK(AE26,AE$3:AE$51)</f>
        <v/>
      </c>
      <c r="AG26" s="28">
        <f>1.16+Y26</f>
        <v/>
      </c>
      <c r="AH26" s="47">
        <f>W26*(8.5+2*P26)*4.4/AG26</f>
        <v/>
      </c>
      <c r="AI26" s="32">
        <f>AH26/$H26-1</f>
        <v/>
      </c>
      <c r="AJ26" s="33">
        <f>RANK(AI26,AI$3:AI$51)</f>
        <v/>
      </c>
      <c r="AK26" s="49" t="n">
        <v>27.45</v>
      </c>
      <c r="AL26" s="32">
        <f>AK26/$H26-1</f>
        <v/>
      </c>
      <c r="AM26" s="33">
        <f>RANK(AL26,AL$3:AL$51)</f>
        <v/>
      </c>
      <c r="AN26" s="33">
        <f>1/(60+AF26)+1/(60+AJ26)+1/(60+AM26)</f>
        <v/>
      </c>
      <c r="AO26" s="33">
        <f>RANK(AN26,AN$3:AN$51)</f>
        <v/>
      </c>
      <c r="AP26" s="33">
        <f>(49-AF26)+(49-AJ26)+(49-AM26)</f>
        <v/>
      </c>
      <c r="AQ26" s="33">
        <f>RANK(AP26,AP$3:AP$51)</f>
        <v/>
      </c>
      <c r="AR26" s="33">
        <f>SUMPRODUCT(--(((AF26&lt;$AF$3:$AF$51)+(AJ26&lt;$AJ$3:$AJ$51)+(AM26&lt;$AM$3:$AM$51))&gt;=2))
-SUMPRODUCT(--(((AF26&gt;$AF$3:$AF$51)+(AJ26&gt;$AJ$3:$AJ$51)+(AM26&gt;$AM$3:$AM$51))&gt;=2))</f>
        <v/>
      </c>
      <c r="AS26" s="33">
        <f>RANK(AR26,AR$3:AR$51)</f>
        <v/>
      </c>
      <c r="AT26" s="37" t="n">
        <v>24</v>
      </c>
      <c r="AU26" s="33" t="n">
        <v>0.1390479655259483</v>
      </c>
    </row>
    <row r="27" ht="15.75" customHeight="1" s="45">
      <c r="A27" s="28" t="inlineStr">
        <is>
          <t>STRL</t>
        </is>
      </c>
      <c r="B27" s="28" t="inlineStr">
        <is>
          <t>Sterling Infrastructure Inc</t>
        </is>
      </c>
      <c r="C27" s="28" t="inlineStr">
        <is>
          <t>Industrials</t>
        </is>
      </c>
      <c r="D27" s="28" t="inlineStr">
        <is>
          <t>Engineering &amp; Construction</t>
        </is>
      </c>
      <c r="E27" s="28" t="inlineStr">
        <is>
          <t>USA</t>
        </is>
      </c>
      <c r="F27" s="28" t="inlineStr">
        <is>
          <t>16.92B</t>
        </is>
      </c>
      <c r="G27" s="28" t="n">
        <v>39.86</v>
      </c>
      <c r="H27" s="28" t="n">
        <v>553.16</v>
      </c>
      <c r="I27" s="28" t="n">
        <v>0.0077</v>
      </c>
      <c r="J27" s="28" t="inlineStr">
        <is>
          <t>530,413</t>
        </is>
      </c>
      <c r="K27" s="28" t="n">
        <v>0.24</v>
      </c>
      <c r="L27" s="28" t="n">
        <v>36.14</v>
      </c>
      <c r="M27" s="28" t="inlineStr">
        <is>
          <t>N/A</t>
        </is>
      </c>
      <c r="N27" s="28" t="n">
        <v>0</v>
      </c>
      <c r="O27" s="28" t="n">
        <v>0</v>
      </c>
      <c r="P27" s="28" t="n">
        <v>49.44</v>
      </c>
      <c r="Q27" s="28" t="inlineStr">
        <is>
          <t>L10Y</t>
        </is>
      </c>
      <c r="R27" s="28" t="n">
        <v>1.9</v>
      </c>
      <c r="S27" s="28" t="inlineStr">
        <is>
          <t>Morningstar US Market TR USD</t>
        </is>
      </c>
      <c r="T27" s="28" t="n">
        <v>15.17</v>
      </c>
      <c r="U27" s="28" t="n">
        <v>1.89</v>
      </c>
      <c r="V27" s="28" t="n">
        <v>10</v>
      </c>
      <c r="W27" s="28" t="n">
        <v>13.87</v>
      </c>
      <c r="X27" s="28" t="n">
        <v>41.53</v>
      </c>
      <c r="Y27" s="28" t="n">
        <v>4.63</v>
      </c>
      <c r="Z27" s="4">
        <f>VLOOKUP(C27,$C$53:$D$61,2,0)</f>
        <v/>
      </c>
      <c r="AA27" s="28">
        <f>Y27+U27*(V27-Y27)</f>
        <v/>
      </c>
      <c r="AB27" s="28">
        <f>1/((AA27-Z27)/100)</f>
        <v/>
      </c>
      <c r="AC27" s="32">
        <f>(AB27/X27)^(1/AD27)-1</f>
        <v/>
      </c>
      <c r="AD27" s="4" t="n">
        <v>7</v>
      </c>
      <c r="AE27" s="32">
        <f>N27/100+P27/100+O27/100+AC27</f>
        <v/>
      </c>
      <c r="AF27" s="33">
        <f>RANK(AE27,AE$3:AE$51)</f>
        <v/>
      </c>
      <c r="AG27" s="28">
        <f>1.16+Y27</f>
        <v/>
      </c>
      <c r="AH27" s="47">
        <f>W27*(8.5+2*P27)*4.4/AG27</f>
        <v/>
      </c>
      <c r="AI27" s="32">
        <f>AH27/$H27-1</f>
        <v/>
      </c>
      <c r="AJ27" s="33">
        <f>RANK(AI27,AI$3:AI$51)</f>
        <v/>
      </c>
      <c r="AK27" s="49" t="n">
        <v>460.06</v>
      </c>
      <c r="AL27" s="32">
        <f>AK27/$H27-1</f>
        <v/>
      </c>
      <c r="AM27" s="33">
        <f>RANK(AL27,AL$3:AL$51)</f>
        <v/>
      </c>
      <c r="AN27" s="33">
        <f>1/(60+AF27)+1/(60+AJ27)+1/(60+AM27)</f>
        <v/>
      </c>
      <c r="AO27" s="33">
        <f>RANK(AN27,AN$3:AN$51)</f>
        <v/>
      </c>
      <c r="AP27" s="33">
        <f>(49-AF27)+(49-AJ27)+(49-AM27)</f>
        <v/>
      </c>
      <c r="AQ27" s="33">
        <f>RANK(AP27,AP$3:AP$51)</f>
        <v/>
      </c>
      <c r="AR27" s="33">
        <f>SUMPRODUCT(--(((AF27&lt;$AF$3:$AF$51)+(AJ27&lt;$AJ$3:$AJ$51)+(AM27&lt;$AM$3:$AM$51))&gt;=2))
-SUMPRODUCT(--(((AF27&gt;$AF$3:$AF$51)+(AJ27&gt;$AJ$3:$AJ$51)+(AM27&gt;$AM$3:$AM$51))&gt;=2))</f>
        <v/>
      </c>
      <c r="AS27" s="33">
        <f>RANK(AR27,AR$3:AR$51)</f>
        <v/>
      </c>
      <c r="AT27" s="33" t="n">
        <v>25</v>
      </c>
      <c r="AU27" s="33" t="n">
        <v>2.077772290741006e-09</v>
      </c>
    </row>
    <row r="28" ht="15.75" customHeight="1" s="45">
      <c r="A28" s="28" t="inlineStr">
        <is>
          <t>CDNA</t>
        </is>
      </c>
      <c r="B28" s="28" t="inlineStr">
        <is>
          <t>Caredx Inc</t>
        </is>
      </c>
      <c r="C28" s="28" t="inlineStr">
        <is>
          <t>Healthcare</t>
        </is>
      </c>
      <c r="D28" s="28" t="inlineStr">
        <is>
          <t>Diagnostics &amp; Research</t>
        </is>
      </c>
      <c r="E28" s="28" t="inlineStr">
        <is>
          <t>USA</t>
        </is>
      </c>
      <c r="F28" s="28" t="inlineStr">
        <is>
          <t>2.45B</t>
        </is>
      </c>
      <c r="G28" s="28" t="inlineStr">
        <is>
          <t>22,84</t>
        </is>
      </c>
      <c r="H28" s="28" t="n">
        <v>47.38</v>
      </c>
      <c r="I28" s="28" t="inlineStr">
        <is>
          <t>0,15%</t>
        </is>
      </c>
      <c r="J28" s="26" t="n">
        <v>739304</v>
      </c>
      <c r="K28" s="28" t="n">
        <v>0.05</v>
      </c>
      <c r="L28" s="4" t="n">
        <v>0</v>
      </c>
      <c r="M28" s="28" t="inlineStr">
        <is>
          <t>N/A</t>
        </is>
      </c>
      <c r="N28" s="28" t="n">
        <v>0</v>
      </c>
      <c r="O28" s="28" t="n">
        <v>2.13</v>
      </c>
      <c r="P28" s="28" t="n">
        <v>24.98</v>
      </c>
      <c r="Q28" s="28" t="inlineStr">
        <is>
          <t>-</t>
        </is>
      </c>
      <c r="R28" s="39" t="n">
        <v>2.42</v>
      </c>
      <c r="U28" s="41">
        <f>IF(E28="USA",R28,"completar")</f>
        <v/>
      </c>
      <c r="V28" s="28" t="n">
        <v>10</v>
      </c>
      <c r="W28" s="29" t="n">
        <v>2.08</v>
      </c>
      <c r="X28" s="29" t="n">
        <v>22.84</v>
      </c>
      <c r="Y28" s="28" t="n">
        <v>4.63</v>
      </c>
      <c r="Z28" s="4">
        <f>VLOOKUP(C28,$C$53:$D$61,2,0)</f>
        <v/>
      </c>
      <c r="AA28" s="28">
        <f>Y28+U28*(V28-Y28)</f>
        <v/>
      </c>
      <c r="AB28" s="28">
        <f>1/((AA28-Z28)/100)</f>
        <v/>
      </c>
      <c r="AC28" s="32">
        <f>(AB28/X28)^(1/AD28)-1</f>
        <v/>
      </c>
      <c r="AD28" s="4" t="n">
        <v>7</v>
      </c>
      <c r="AE28" s="32">
        <f>N28/100+P28/100+O28/100+AC28</f>
        <v/>
      </c>
      <c r="AF28" s="33">
        <f>RANK(AE28,AE$3:AE$51)</f>
        <v/>
      </c>
      <c r="AG28" s="28">
        <f>1.16+Y28</f>
        <v/>
      </c>
      <c r="AH28" s="47">
        <f>W28*(8.5+2*P28)*4.4/AG28</f>
        <v/>
      </c>
      <c r="AI28" s="32">
        <f>AH28/$H28-1</f>
        <v/>
      </c>
      <c r="AJ28" s="33">
        <f>RANK(AI28,AI$3:AI$51)</f>
        <v/>
      </c>
      <c r="AK28" s="49" t="n">
        <v>43.18</v>
      </c>
      <c r="AL28" s="32">
        <f>AK28/$H28-1</f>
        <v/>
      </c>
      <c r="AM28" s="33">
        <f>RANK(AL28,AL$3:AL$51)</f>
        <v/>
      </c>
      <c r="AN28" s="33">
        <f>1/(60+AF28)+1/(60+AJ28)+1/(60+AM28)</f>
        <v/>
      </c>
      <c r="AO28" s="33">
        <f>RANK(AN28,AN$3:AN$51)</f>
        <v/>
      </c>
      <c r="AP28" s="33">
        <f>(49-AF28)+(49-AJ28)+(49-AM28)</f>
        <v/>
      </c>
      <c r="AQ28" s="33">
        <f>RANK(AP28,AP$3:AP$51)</f>
        <v/>
      </c>
      <c r="AR28" s="33">
        <f>SUMPRODUCT(--(((AF28&lt;$AF$3:$AF$51)+(AJ28&lt;$AJ$3:$AJ$51)+(AM28&lt;$AM$3:$AM$51))&gt;=2))
-SUMPRODUCT(--(((AF28&gt;$AF$3:$AF$51)+(AJ28&gt;$AJ$3:$AJ$51)+(AM28&gt;$AM$3:$AM$51))&gt;=2))</f>
        <v/>
      </c>
      <c r="AS28" s="33">
        <f>RANK(AR28,AR$3:AR$51)</f>
        <v/>
      </c>
      <c r="AT28" s="33" t="n">
        <v>26</v>
      </c>
      <c r="AU28" s="33" t="n">
        <v>2.73773962889967e-09</v>
      </c>
    </row>
    <row r="29" ht="15.75" customHeight="1" s="45">
      <c r="A29" s="28" t="inlineStr">
        <is>
          <t>VLO</t>
        </is>
      </c>
      <c r="B29" s="28" t="inlineStr">
        <is>
          <t>Valero Energy Corp</t>
        </is>
      </c>
      <c r="C29" s="28" t="inlineStr">
        <is>
          <t>Energy</t>
        </is>
      </c>
      <c r="D29" s="28" t="inlineStr">
        <is>
          <t>Oil &amp; Gas Refining &amp; Marketing</t>
        </is>
      </c>
      <c r="E29" s="28" t="inlineStr">
        <is>
          <t>USA</t>
        </is>
      </c>
      <c r="F29" s="28" t="inlineStr">
        <is>
          <t>98.74B</t>
        </is>
      </c>
      <c r="G29" s="28" t="n">
        <v>14.22</v>
      </c>
      <c r="H29" s="28" t="n">
        <v>342.92</v>
      </c>
      <c r="I29" s="28" t="n">
        <v>0.0385</v>
      </c>
      <c r="J29" s="28" t="inlineStr">
        <is>
          <t>2,185,265</t>
        </is>
      </c>
      <c r="K29" s="28" t="n">
        <v>0.4</v>
      </c>
      <c r="L29" s="28" t="n">
        <v>18.53</v>
      </c>
      <c r="M29" s="28" t="inlineStr">
        <is>
          <t>N/A</t>
        </is>
      </c>
      <c r="N29" s="28" t="n">
        <v>3</v>
      </c>
      <c r="O29" s="28" t="n">
        <v>0.47</v>
      </c>
      <c r="P29" s="28" t="n">
        <v>21.98</v>
      </c>
      <c r="Q29" s="28" t="inlineStr">
        <is>
          <t>L10Y</t>
        </is>
      </c>
      <c r="R29" s="28" t="n">
        <v>0.55</v>
      </c>
      <c r="S29" s="28" t="inlineStr">
        <is>
          <t>Morningstar US Market TR USD</t>
        </is>
      </c>
      <c r="T29" s="28" t="n">
        <v>15.17</v>
      </c>
      <c r="U29" s="28" t="n">
        <v>0.55</v>
      </c>
      <c r="V29" s="28" t="n">
        <v>10</v>
      </c>
      <c r="W29" s="28" t="n">
        <v>24.04</v>
      </c>
      <c r="X29" s="28" t="n">
        <v>14.24</v>
      </c>
      <c r="Y29" s="28" t="n">
        <v>4.63</v>
      </c>
      <c r="Z29" s="4">
        <f>VLOOKUP(C29,$C$53:$D$61,2,0)</f>
        <v/>
      </c>
      <c r="AA29" s="28">
        <f>Y29+U29*(V29-Y29)</f>
        <v/>
      </c>
      <c r="AB29" s="28">
        <f>1/((AA29-Z29)/100)</f>
        <v/>
      </c>
      <c r="AC29" s="32">
        <f>(AB29/X29)^(1/AD29)-1</f>
        <v/>
      </c>
      <c r="AD29" s="4" t="n">
        <v>7</v>
      </c>
      <c r="AE29" s="32">
        <f>N29/100+P29/100+O29/100+AC29</f>
        <v/>
      </c>
      <c r="AF29" s="33">
        <f>RANK(AE29,AE$3:AE$51)</f>
        <v/>
      </c>
      <c r="AG29" s="28">
        <f>1.16+Y29</f>
        <v/>
      </c>
      <c r="AH29" s="47">
        <f>W29*(8.5+2*P29)*4.4/AG29</f>
        <v/>
      </c>
      <c r="AI29" s="32">
        <f>AH29/$H29-1</f>
        <v/>
      </c>
      <c r="AJ29" s="33">
        <f>RANK(AI29,AI$3:AI$51)</f>
        <v/>
      </c>
      <c r="AK29" s="49" t="n">
        <v>190</v>
      </c>
      <c r="AL29" s="32">
        <f>AK29/$H29-1</f>
        <v/>
      </c>
      <c r="AM29" s="33">
        <f>RANK(AL29,AL$3:AL$51)</f>
        <v/>
      </c>
      <c r="AN29" s="33">
        <f>1/(60+AF29)+1/(60+AJ29)+1/(60+AM29)</f>
        <v/>
      </c>
      <c r="AO29" s="33">
        <f>RANK(AN29,AN$3:AN$51)</f>
        <v/>
      </c>
      <c r="AP29" s="33">
        <f>(49-AF29)+(49-AJ29)+(49-AM29)</f>
        <v/>
      </c>
      <c r="AQ29" s="33">
        <f>RANK(AP29,AP$3:AP$51)</f>
        <v/>
      </c>
      <c r="AR29" s="33">
        <f>SUMPRODUCT(--(((AF29&lt;$AF$3:$AF$51)+(AJ29&lt;$AJ$3:$AJ$51)+(AM29&lt;$AM$3:$AM$51))&gt;=2))
-SUMPRODUCT(--(((AF29&gt;$AF$3:$AF$51)+(AJ29&gt;$AJ$3:$AJ$51)+(AM29&gt;$AM$3:$AM$51))&gt;=2))</f>
        <v/>
      </c>
      <c r="AS29" s="33">
        <f>RANK(AR29,AR$3:AR$51)</f>
        <v/>
      </c>
      <c r="AT29" s="33" t="n">
        <v>27</v>
      </c>
      <c r="AU29" s="33" t="n">
        <v>0.1112027492589865</v>
      </c>
    </row>
    <row r="30" ht="15.75" customHeight="1" s="45">
      <c r="A30" s="28" t="inlineStr">
        <is>
          <t>CLS</t>
        </is>
      </c>
      <c r="B30" s="28" t="inlineStr">
        <is>
          <t>Celestica Inc</t>
        </is>
      </c>
      <c r="C30" s="28" t="inlineStr">
        <is>
          <t>Technology</t>
        </is>
      </c>
      <c r="D30" s="28" t="inlineStr">
        <is>
          <t>Electronic Components</t>
        </is>
      </c>
      <c r="E30" s="28" t="inlineStr">
        <is>
          <t>Canada</t>
        </is>
      </c>
      <c r="F30" s="28" t="inlineStr">
        <is>
          <t>39.97B</t>
        </is>
      </c>
      <c r="G30" s="28" t="inlineStr">
        <is>
          <t>36,11</t>
        </is>
      </c>
      <c r="H30" s="28" t="n">
        <v>347.63</v>
      </c>
      <c r="I30" s="28" t="inlineStr">
        <is>
          <t>2,41%</t>
        </is>
      </c>
      <c r="J30" s="26" t="n">
        <v>3510858</v>
      </c>
      <c r="K30" s="28" t="n">
        <v>0.33</v>
      </c>
      <c r="L30" s="28" t="n">
        <v>18.94</v>
      </c>
      <c r="M30" s="28" t="inlineStr">
        <is>
          <t>N/A</t>
        </is>
      </c>
      <c r="N30" s="28" t="n">
        <v>0</v>
      </c>
      <c r="O30" s="28" t="n">
        <v>0.14</v>
      </c>
      <c r="P30" s="28" t="n">
        <v>32.79</v>
      </c>
      <c r="Q30" s="28" t="inlineStr">
        <is>
          <t>10 años</t>
        </is>
      </c>
      <c r="R30" s="39" t="n">
        <v>1.52</v>
      </c>
      <c r="U30" s="39" t="n">
        <v>1.52</v>
      </c>
      <c r="V30" s="28" t="n">
        <v>10</v>
      </c>
      <c r="W30" s="29" t="n">
        <v>7.16</v>
      </c>
      <c r="X30" s="29" t="n">
        <v>36.11</v>
      </c>
      <c r="Y30" s="28" t="n">
        <v>4.63</v>
      </c>
      <c r="Z30" s="4">
        <f>VLOOKUP(C30,$C$53:$D$61,2,0)</f>
        <v/>
      </c>
      <c r="AA30" s="28">
        <f>Y30+U30*(V30-Y30)</f>
        <v/>
      </c>
      <c r="AB30" s="28">
        <f>1/((AA30-Z30)/100)</f>
        <v/>
      </c>
      <c r="AC30" s="32">
        <f>(AB30/X30)^(1/AD30)-1</f>
        <v/>
      </c>
      <c r="AD30" s="4" t="n">
        <v>7</v>
      </c>
      <c r="AE30" s="32">
        <f>N30/100+P30/100+O30/100+AC30</f>
        <v/>
      </c>
      <c r="AF30" s="33">
        <f>RANK(AE30,AE$3:AE$51)</f>
        <v/>
      </c>
      <c r="AG30" s="28">
        <f>1.16+Y30</f>
        <v/>
      </c>
      <c r="AH30" s="47">
        <f>W30*(8.5+2*P30)*4.4/AG30</f>
        <v/>
      </c>
      <c r="AI30" s="32">
        <f>AH30/$H30-1</f>
        <v/>
      </c>
      <c r="AJ30" s="33">
        <f>RANK(AI30,AI$3:AI$51)</f>
        <v/>
      </c>
      <c r="AK30" s="49" t="n">
        <v>297.58</v>
      </c>
      <c r="AL30" s="32">
        <f>AK30/$H30-1</f>
        <v/>
      </c>
      <c r="AM30" s="33">
        <f>RANK(AL30,AL$3:AL$51)</f>
        <v/>
      </c>
      <c r="AN30" s="33">
        <f>1/(60+AF30)+1/(60+AJ30)+1/(60+AM30)</f>
        <v/>
      </c>
      <c r="AO30" s="33">
        <f>RANK(AN30,AN$3:AN$51)</f>
        <v/>
      </c>
      <c r="AP30" s="33">
        <f>(49-AF30)+(49-AJ30)+(49-AM30)</f>
        <v/>
      </c>
      <c r="AQ30" s="33">
        <f>RANK(AP30,AP$3:AP$51)</f>
        <v/>
      </c>
      <c r="AR30" s="33">
        <f>SUMPRODUCT(--(((AF30&lt;$AF$3:$AF$51)+(AJ30&lt;$AJ$3:$AJ$51)+(AM30&lt;$AM$3:$AM$51))&gt;=2))
-SUMPRODUCT(--(((AF30&gt;$AF$3:$AF$51)+(AJ30&gt;$AJ$3:$AJ$51)+(AM30&gt;$AM$3:$AM$51))&gt;=2))</f>
        <v/>
      </c>
      <c r="AS30" s="33">
        <f>RANK(AR30,AR$3:AR$51)</f>
        <v/>
      </c>
      <c r="AT30" s="33" t="n">
        <v>28</v>
      </c>
      <c r="AU30" s="33" t="n">
        <v>1.12721860418251e-09</v>
      </c>
    </row>
    <row r="31" ht="15.75" customHeight="1" s="45">
      <c r="A31" s="28" t="inlineStr">
        <is>
          <t>COCO</t>
        </is>
      </c>
      <c r="B31" s="28" t="inlineStr">
        <is>
          <t>Vita Coco Company Inc</t>
        </is>
      </c>
      <c r="C31" s="28" t="inlineStr">
        <is>
          <t>Consumer Defensive</t>
        </is>
      </c>
      <c r="D31" s="28" t="inlineStr">
        <is>
          <t>Beverages - Non-Alcoholic</t>
        </is>
      </c>
      <c r="E31" s="28" t="inlineStr">
        <is>
          <t>USA</t>
        </is>
      </c>
      <c r="F31" s="28" t="inlineStr">
        <is>
          <t>3.74B</t>
        </is>
      </c>
      <c r="G31" s="28" t="inlineStr">
        <is>
          <t>35,99</t>
        </is>
      </c>
      <c r="H31" s="28" t="n">
        <v>65.20999999999999</v>
      </c>
      <c r="I31" s="28" t="inlineStr">
        <is>
          <t>-1,87%</t>
        </is>
      </c>
      <c r="J31" s="26" t="n">
        <v>787408</v>
      </c>
      <c r="K31" s="28" t="n">
        <v>0.03</v>
      </c>
      <c r="L31" s="4" t="n">
        <v>0</v>
      </c>
      <c r="M31" s="28" t="inlineStr">
        <is>
          <t>N/A</t>
        </is>
      </c>
      <c r="N31" s="28" t="n">
        <v>0</v>
      </c>
      <c r="O31" s="28" t="n">
        <v>0.5600000000000001</v>
      </c>
      <c r="P31" s="28" t="n">
        <v>38.3</v>
      </c>
      <c r="Q31" s="28" t="inlineStr">
        <is>
          <t>3 años</t>
        </is>
      </c>
      <c r="R31" s="39" t="n">
        <v>0.77</v>
      </c>
      <c r="U31" s="41">
        <f>IF(E31="USA",R31,"completar")</f>
        <v/>
      </c>
      <c r="V31" s="28" t="n">
        <v>10</v>
      </c>
      <c r="W31" s="29" t="n">
        <v>1.81</v>
      </c>
      <c r="X31" s="29" t="n">
        <v>35.99</v>
      </c>
      <c r="Y31" s="28" t="n">
        <v>4.63</v>
      </c>
      <c r="Z31" s="4">
        <f>VLOOKUP(C31,$C$53:$D$61,2,0)</f>
        <v/>
      </c>
      <c r="AA31" s="28">
        <f>Y31+U31*(V31-Y31)</f>
        <v/>
      </c>
      <c r="AB31" s="28">
        <f>1/((AA31-Z31)/100)</f>
        <v/>
      </c>
      <c r="AC31" s="32">
        <f>(AB31/X31)^(1/AD31)-1</f>
        <v/>
      </c>
      <c r="AD31" s="4" t="n">
        <v>7</v>
      </c>
      <c r="AE31" s="32">
        <f>N31/100+P31/100+O31/100+AC31</f>
        <v/>
      </c>
      <c r="AF31" s="33">
        <f>RANK(AE31,AE$3:AE$51)</f>
        <v/>
      </c>
      <c r="AG31" s="28">
        <f>1.16+Y31</f>
        <v/>
      </c>
      <c r="AH31" s="47">
        <f>W31*(8.5+2*P31)*4.4/AG31</f>
        <v/>
      </c>
      <c r="AI31" s="32">
        <f>AH31/$H31-1</f>
        <v/>
      </c>
      <c r="AJ31" s="33">
        <f>RANK(AI31,AI$3:AI$51)</f>
        <v/>
      </c>
      <c r="AK31" s="49" t="n">
        <v>49.11</v>
      </c>
      <c r="AL31" s="32">
        <f>AK31/$H31-1</f>
        <v/>
      </c>
      <c r="AM31" s="33">
        <f>RANK(AL31,AL$3:AL$51)</f>
        <v/>
      </c>
      <c r="AN31" s="33">
        <f>1/(60+AF31)+1/(60+AJ31)+1/(60+AM31)</f>
        <v/>
      </c>
      <c r="AO31" s="33">
        <f>RANK(AN31,AN$3:AN$51)</f>
        <v/>
      </c>
      <c r="AP31" s="33">
        <f>(49-AF31)+(49-AJ31)+(49-AM31)</f>
        <v/>
      </c>
      <c r="AQ31" s="33">
        <f>RANK(AP31,AP$3:AP$51)</f>
        <v/>
      </c>
      <c r="AR31" s="33">
        <f>SUMPRODUCT(--(((AF31&lt;$AF$3:$AF$51)+(AJ31&lt;$AJ$3:$AJ$51)+(AM31&lt;$AM$3:$AM$51))&gt;=2))
-SUMPRODUCT(--(((AF31&gt;$AF$3:$AF$51)+(AJ31&gt;$AJ$3:$AJ$51)+(AM31&gt;$AM$3:$AM$51))&gt;=2))</f>
        <v/>
      </c>
      <c r="AS31" s="33">
        <f>RANK(AR31,AR$3:AR$51)</f>
        <v/>
      </c>
      <c r="AT31" s="37" t="n">
        <v>29</v>
      </c>
      <c r="AU31" s="33" t="n">
        <v>0.03116531636129398</v>
      </c>
    </row>
    <row r="32" ht="15.75" customHeight="1" s="45">
      <c r="A32" s="28" t="inlineStr">
        <is>
          <t>ARGX</t>
        </is>
      </c>
      <c r="B32" s="28" t="inlineStr">
        <is>
          <t>Argen X SE ADR</t>
        </is>
      </c>
      <c r="C32" s="28" t="inlineStr">
        <is>
          <t>Healthcare</t>
        </is>
      </c>
      <c r="D32" s="28" t="inlineStr">
        <is>
          <t>Biotechnology</t>
        </is>
      </c>
      <c r="E32" s="28" t="inlineStr">
        <is>
          <t>Netherlands</t>
        </is>
      </c>
      <c r="F32" s="28" t="inlineStr">
        <is>
          <t>53.61B</t>
        </is>
      </c>
      <c r="G32" s="28" t="inlineStr">
        <is>
          <t>32,66</t>
        </is>
      </c>
      <c r="H32" s="28" t="n">
        <v>856.9400000000001</v>
      </c>
      <c r="I32" s="28" t="inlineStr">
        <is>
          <t>-2,18%</t>
        </is>
      </c>
      <c r="J32" s="26" t="n">
        <v>171504</v>
      </c>
      <c r="K32" s="28" t="n">
        <v>0.01</v>
      </c>
      <c r="L32" s="28" t="n">
        <v>411.3</v>
      </c>
      <c r="M32" s="28" t="inlineStr">
        <is>
          <t>N/A</t>
        </is>
      </c>
      <c r="N32" s="28" t="n">
        <v>0</v>
      </c>
      <c r="O32" s="28" t="n">
        <v>0</v>
      </c>
      <c r="P32" s="28" t="n">
        <v>30.45</v>
      </c>
      <c r="Q32" s="28" t="inlineStr">
        <is>
          <t>(Promedio en 5 años)</t>
        </is>
      </c>
      <c r="R32" s="39" t="n">
        <v>-0.04</v>
      </c>
      <c r="U32" s="43" t="n">
        <v>-0.04</v>
      </c>
      <c r="V32" s="28" t="n">
        <v>10</v>
      </c>
      <c r="W32" s="29" t="n">
        <v>26.25</v>
      </c>
      <c r="X32" s="29" t="n">
        <v>32.66</v>
      </c>
      <c r="Y32" s="28" t="n">
        <v>4.63</v>
      </c>
      <c r="Z32" s="4">
        <f>VLOOKUP(C32,$C$53:$D$61,2,0)</f>
        <v/>
      </c>
      <c r="AA32" s="28">
        <f>Y32+U32*(V32-Y32)</f>
        <v/>
      </c>
      <c r="AB32" s="28">
        <f>1/((AA32-Z32)/100)</f>
        <v/>
      </c>
      <c r="AC32" s="32">
        <f>(AB32/X32)^(1/AD32)-1</f>
        <v/>
      </c>
      <c r="AD32" s="4" t="n">
        <v>7</v>
      </c>
      <c r="AE32" s="32">
        <f>N32/100+P32/100+O32/100+AC32</f>
        <v/>
      </c>
      <c r="AF32" s="33">
        <f>RANK(AE32,AE$3:AE$51)</f>
        <v/>
      </c>
      <c r="AG32" s="28">
        <f>1.16+Y32</f>
        <v/>
      </c>
      <c r="AH32" s="47">
        <f>W32*(8.5+2*P32)*4.4/AG32</f>
        <v/>
      </c>
      <c r="AI32" s="32">
        <f>AH32/$H32-1</f>
        <v/>
      </c>
      <c r="AJ32" s="33">
        <f>RANK(AI32,AI$3:AI$51)</f>
        <v/>
      </c>
      <c r="AK32" s="49" t="n">
        <v>900</v>
      </c>
      <c r="AL32" s="32">
        <f>AK32/$H32-1</f>
        <v/>
      </c>
      <c r="AM32" s="33">
        <f>RANK(AL32,AL$3:AL$51)</f>
        <v/>
      </c>
      <c r="AN32" s="33">
        <f>1/(60+AF32)+1/(60+AJ32)+1/(60+AM32)</f>
        <v/>
      </c>
      <c r="AO32" s="33">
        <f>RANK(AN32,AN$3:AN$51)</f>
        <v/>
      </c>
      <c r="AP32" s="33">
        <f>(49-AF32)+(49-AJ32)+(49-AM32)</f>
        <v/>
      </c>
      <c r="AQ32" s="33">
        <f>RANK(AP32,AP$3:AP$51)</f>
        <v/>
      </c>
      <c r="AR32" s="33">
        <f>SUMPRODUCT(--(((AF32&lt;$AF$3:$AF$51)+(AJ32&lt;$AJ$3:$AJ$51)+(AM32&lt;$AM$3:$AM$51))&gt;=2))
-SUMPRODUCT(--(((AF32&gt;$AF$3:$AF$51)+(AJ32&gt;$AJ$3:$AJ$51)+(AM32&gt;$AM$3:$AM$51))&gt;=2))</f>
        <v/>
      </c>
      <c r="AS32" s="33">
        <f>RANK(AR32,AR$3:AR$51)</f>
        <v/>
      </c>
      <c r="AT32" s="37" t="n">
        <v>30</v>
      </c>
      <c r="AU32" s="33" t="n">
        <v>0.1176812810924065</v>
      </c>
    </row>
    <row r="33" ht="15.75" customHeight="1" s="45">
      <c r="A33" s="28" t="inlineStr">
        <is>
          <t>QNST</t>
        </is>
      </c>
      <c r="B33" s="28" t="inlineStr">
        <is>
          <t>QuinStreet Inc</t>
        </is>
      </c>
      <c r="C33" s="28" t="inlineStr">
        <is>
          <t>Communication Services</t>
        </is>
      </c>
      <c r="D33" s="28" t="inlineStr">
        <is>
          <t>Advertising Agencies</t>
        </is>
      </c>
      <c r="E33" s="28" t="inlineStr">
        <is>
          <t>USA</t>
        </is>
      </c>
      <c r="F33" s="28" t="inlineStr">
        <is>
          <t>1.19B</t>
        </is>
      </c>
      <c r="G33" s="28" t="inlineStr">
        <is>
          <t>14,8</t>
        </is>
      </c>
      <c r="H33" s="28" t="n">
        <v>20.74</v>
      </c>
      <c r="I33" s="28" t="inlineStr">
        <is>
          <t>-0,24%</t>
        </is>
      </c>
      <c r="J33" s="26" t="n">
        <v>795007</v>
      </c>
      <c r="K33" s="28" t="n">
        <v>0.24</v>
      </c>
      <c r="L33" s="28" t="n">
        <v>8.69</v>
      </c>
      <c r="M33" s="28" t="inlineStr">
        <is>
          <t>N/A</t>
        </is>
      </c>
      <c r="N33" s="28" t="n">
        <v>0</v>
      </c>
      <c r="O33" s="28" t="n">
        <v>2.67</v>
      </c>
      <c r="P33" s="28" t="n">
        <v>7.63</v>
      </c>
      <c r="Q33" s="28" t="inlineStr">
        <is>
          <t>Promedio en 5 años</t>
        </is>
      </c>
      <c r="R33" s="29" t="n">
        <v>0.66</v>
      </c>
      <c r="U33" s="28">
        <f>IF(E33="USA",R33,"completar")</f>
        <v/>
      </c>
      <c r="V33" s="28" t="n">
        <v>10</v>
      </c>
      <c r="W33" s="29" t="n">
        <v>1.1</v>
      </c>
      <c r="X33" s="29" t="n">
        <v>14.63</v>
      </c>
      <c r="Y33" s="28" t="n">
        <v>4.63</v>
      </c>
      <c r="Z33" s="4">
        <f>VLOOKUP(C33,$C$53:$D$61,2,0)</f>
        <v/>
      </c>
      <c r="AA33" s="28">
        <f>Y33+U33*(V33-Y33)</f>
        <v/>
      </c>
      <c r="AB33" s="28">
        <f>1/((AA33-Z33)/100)</f>
        <v/>
      </c>
      <c r="AC33" s="32">
        <f>(AB33/X33)^(1/AD33)-1</f>
        <v/>
      </c>
      <c r="AD33" s="4" t="n">
        <v>7</v>
      </c>
      <c r="AE33" s="32">
        <f>N33/100+P33/100+O33/100+AC33</f>
        <v/>
      </c>
      <c r="AF33" s="33">
        <f>RANK(AE33,AE$3:AE$51)</f>
        <v/>
      </c>
      <c r="AG33" s="28">
        <f>1.16+Y33</f>
        <v/>
      </c>
      <c r="AH33" s="47">
        <f>W33*(8.5+2*P33)*4.4/AG33</f>
        <v/>
      </c>
      <c r="AI33" s="32">
        <f>AH33/$H33-1</f>
        <v/>
      </c>
      <c r="AJ33" s="33">
        <f>RANK(AI33,AI$3:AI$51)</f>
        <v/>
      </c>
      <c r="AK33" s="48" t="n">
        <v>19.18</v>
      </c>
      <c r="AL33" s="32">
        <f>AK33/$H33-1</f>
        <v/>
      </c>
      <c r="AM33" s="33">
        <f>RANK(AL33,AL$3:AL$51)</f>
        <v/>
      </c>
      <c r="AN33" s="33">
        <f>1/(60+AF33)+1/(60+AJ33)+1/(60+AM33)</f>
        <v/>
      </c>
      <c r="AO33" s="33">
        <f>RANK(AN33,AN$3:AN$51)</f>
        <v/>
      </c>
      <c r="AP33" s="33">
        <f>(49-AF33)+(49-AJ33)+(49-AM33)</f>
        <v/>
      </c>
      <c r="AQ33" s="33">
        <f>RANK(AP33,AP$3:AP$51)</f>
        <v/>
      </c>
      <c r="AR33" s="33">
        <f>SUMPRODUCT(--(((AF33&lt;$AF$3:$AF$51)+(AJ33&lt;$AJ$3:$AJ$51)+(AM33&lt;$AM$3:$AM$51))&gt;=2))
-SUMPRODUCT(--(((AF33&gt;$AF$3:$AF$51)+(AJ33&gt;$AJ$3:$AJ$51)+(AM33&gt;$AM$3:$AM$51))&gt;=2))</f>
        <v/>
      </c>
      <c r="AS33" s="33">
        <f>RANK(AR33,AR$3:AR$51)</f>
        <v/>
      </c>
      <c r="AT33" s="37" t="n">
        <v>31</v>
      </c>
      <c r="AU33" s="33" t="n">
        <v>6.971173493186914e-09</v>
      </c>
    </row>
    <row r="34" ht="15.75" customHeight="1" s="45">
      <c r="A34" s="28" t="inlineStr">
        <is>
          <t>AMAT</t>
        </is>
      </c>
      <c r="B34" s="28" t="inlineStr">
        <is>
          <t>Applied Materials Inc</t>
        </is>
      </c>
      <c r="C34" s="28" t="inlineStr">
        <is>
          <t>Technology</t>
        </is>
      </c>
      <c r="D34" s="28" t="inlineStr">
        <is>
          <t>Semiconductor Equipment &amp; Materials</t>
        </is>
      </c>
      <c r="E34" s="28" t="inlineStr">
        <is>
          <t>USA</t>
        </is>
      </c>
      <c r="F34" s="28" t="inlineStr">
        <is>
          <t>424.40B</t>
        </is>
      </c>
      <c r="G34" s="28" t="inlineStr">
        <is>
          <t>50,22</t>
        </is>
      </c>
      <c r="H34" s="28" t="n">
        <v>534.54</v>
      </c>
      <c r="I34" s="28" t="inlineStr">
        <is>
          <t>-2,48%</t>
        </is>
      </c>
      <c r="J34" s="26" t="n">
        <v>12901667</v>
      </c>
      <c r="K34" s="28" t="n">
        <v>0.35</v>
      </c>
      <c r="L34" s="28" t="n">
        <v>30.18</v>
      </c>
      <c r="M34" s="28" t="inlineStr">
        <is>
          <t>N/A</t>
        </is>
      </c>
      <c r="N34" s="28" t="n">
        <v>0.3</v>
      </c>
      <c r="O34" s="28" t="n">
        <v>0.43</v>
      </c>
      <c r="P34" s="28" t="n">
        <v>28.32</v>
      </c>
      <c r="Q34" s="28" t="inlineStr">
        <is>
          <t>(promedio en 10 años)</t>
        </is>
      </c>
      <c r="R34" s="39" t="n">
        <v>1.62</v>
      </c>
      <c r="U34" s="41">
        <f>IF(E34="USA",R34,"completar")</f>
        <v/>
      </c>
      <c r="V34" s="28" t="n">
        <v>10</v>
      </c>
      <c r="W34" s="29" t="n">
        <v>10.63</v>
      </c>
      <c r="X34" s="29" t="n">
        <v>50.22</v>
      </c>
      <c r="Y34" s="28" t="n">
        <v>4.63</v>
      </c>
      <c r="Z34" s="4">
        <f>VLOOKUP(C34,$C$53:$D$61,2,0)</f>
        <v/>
      </c>
      <c r="AA34" s="28">
        <f>Y34+U34*(V34-Y34)</f>
        <v/>
      </c>
      <c r="AB34" s="28">
        <f>1/((AA34-Z34)/100)</f>
        <v/>
      </c>
      <c r="AC34" s="32">
        <f>(AB34/X34)^(1/AD34)-1</f>
        <v/>
      </c>
      <c r="AD34" s="4" t="n">
        <v>7</v>
      </c>
      <c r="AE34" s="32">
        <f>N34/100+P34/100+O34/100+AC34</f>
        <v/>
      </c>
      <c r="AF34" s="33">
        <f>RANK(AE34,AE$3:AE$51)</f>
        <v/>
      </c>
      <c r="AG34" s="28">
        <f>1.16+Y34</f>
        <v/>
      </c>
      <c r="AH34" s="47">
        <f>W34*(8.5+2*P34)*4.4/AG34</f>
        <v/>
      </c>
      <c r="AI34" s="32">
        <f>AH34/$H34-1</f>
        <v/>
      </c>
      <c r="AJ34" s="33">
        <f>RANK(AI34,AI$3:AI$51)</f>
        <v/>
      </c>
      <c r="AK34" s="49" t="n">
        <v>520</v>
      </c>
      <c r="AL34" s="32">
        <f>AK34/$H34-1</f>
        <v/>
      </c>
      <c r="AM34" s="33">
        <f>RANK(AL34,AL$3:AL$51)</f>
        <v/>
      </c>
      <c r="AN34" s="33">
        <f>1/(60+AF34)+1/(60+AJ34)+1/(60+AM34)</f>
        <v/>
      </c>
      <c r="AO34" s="33">
        <f>RANK(AN34,AN$3:AN$51)</f>
        <v/>
      </c>
      <c r="AP34" s="33">
        <f>(49-AF34)+(49-AJ34)+(49-AM34)</f>
        <v/>
      </c>
      <c r="AQ34" s="33">
        <f>RANK(AP34,AP$3:AP$51)</f>
        <v/>
      </c>
      <c r="AR34" s="33">
        <f>SUMPRODUCT(--(((AF34&lt;$AF$3:$AF$51)+(AJ34&lt;$AJ$3:$AJ$51)+(AM34&lt;$AM$3:$AM$51))&gt;=2))
-SUMPRODUCT(--(((AF34&gt;$AF$3:$AF$51)+(AJ34&gt;$AJ$3:$AJ$51)+(AM34&gt;$AM$3:$AM$51))&gt;=2))</f>
        <v/>
      </c>
      <c r="AS34" s="33">
        <f>RANK(AR34,AR$3:AR$51)</f>
        <v/>
      </c>
      <c r="AT34" s="33" t="n">
        <v>32</v>
      </c>
      <c r="AU34" s="33" t="n">
        <v>2.253938007639056e-09</v>
      </c>
    </row>
    <row r="35" ht="15.75" customHeight="1" s="45">
      <c r="A35" s="28" t="inlineStr">
        <is>
          <t>CENX</t>
        </is>
      </c>
      <c r="B35" s="28" t="inlineStr">
        <is>
          <t>Century Aluminum Co</t>
        </is>
      </c>
      <c r="C35" s="28" t="inlineStr">
        <is>
          <t>Basic Materials</t>
        </is>
      </c>
      <c r="D35" s="28" t="inlineStr">
        <is>
          <t>Aluminum</t>
        </is>
      </c>
      <c r="E35" s="28" t="inlineStr">
        <is>
          <t>USA</t>
        </is>
      </c>
      <c r="F35" s="28" t="inlineStr">
        <is>
          <t>4.59B</t>
        </is>
      </c>
      <c r="G35" s="28" t="inlineStr">
        <is>
          <t>8,03</t>
        </is>
      </c>
      <c r="H35" s="28" t="n">
        <v>46.39</v>
      </c>
      <c r="I35" s="28" t="inlineStr">
        <is>
          <t>-3,70%</t>
        </is>
      </c>
      <c r="J35" s="26" t="n">
        <v>2209865</v>
      </c>
      <c r="K35" s="28" t="n">
        <v>0.31</v>
      </c>
      <c r="L35" s="28" t="n">
        <v>13.47</v>
      </c>
      <c r="M35" s="28" t="inlineStr">
        <is>
          <t>N/A</t>
        </is>
      </c>
      <c r="N35" s="28" t="n">
        <v>0</v>
      </c>
      <c r="O35" s="28" t="n">
        <v>0.1</v>
      </c>
      <c r="P35" s="28" t="n">
        <v>9.66</v>
      </c>
      <c r="Q35" s="28" t="inlineStr">
        <is>
          <t>3 años</t>
        </is>
      </c>
      <c r="R35" s="39" t="n">
        <v>2</v>
      </c>
      <c r="U35" s="41">
        <f>IF(E35="USA",R35,"completar")</f>
        <v/>
      </c>
      <c r="V35" s="28" t="n">
        <v>10</v>
      </c>
      <c r="W35" s="29" t="n">
        <v>5.79</v>
      </c>
      <c r="X35" s="29" t="n">
        <v>8.029999999999999</v>
      </c>
      <c r="Y35" s="28" t="n">
        <v>4.63</v>
      </c>
      <c r="Z35" s="4">
        <f>VLOOKUP(C35,$C$53:$D$61,2,0)</f>
        <v/>
      </c>
      <c r="AA35" s="28">
        <f>Y35+U35*(V35-Y35)</f>
        <v/>
      </c>
      <c r="AB35" s="28">
        <f>1/((AA35-Z35)/100)</f>
        <v/>
      </c>
      <c r="AC35" s="32">
        <f>(AB35/X35)^(1/AD35)-1</f>
        <v/>
      </c>
      <c r="AD35" s="4" t="n">
        <v>7</v>
      </c>
      <c r="AE35" s="32">
        <f>N35/100+P35/100+O35/100+AC35</f>
        <v/>
      </c>
      <c r="AF35" s="33">
        <f>RANK(AE35,AE$3:AE$51)</f>
        <v/>
      </c>
      <c r="AG35" s="28">
        <f>1.16+Y35</f>
        <v/>
      </c>
      <c r="AH35" s="47">
        <f>W35*(8.5+2*P35)*4.4/AG35</f>
        <v/>
      </c>
      <c r="AI35" s="32">
        <f>AH35/$H35-1</f>
        <v/>
      </c>
      <c r="AJ35" s="33">
        <f>RANK(AI35,AI$3:AI$51)</f>
        <v/>
      </c>
      <c r="AK35" s="49" t="n">
        <v>39.3</v>
      </c>
      <c r="AL35" s="32">
        <f>AK35/$H35-1</f>
        <v/>
      </c>
      <c r="AM35" s="33">
        <f>RANK(AL35,AL$3:AL$51)</f>
        <v/>
      </c>
      <c r="AN35" s="33">
        <f>1/(60+AF35)+1/(60+AJ35)+1/(60+AM35)</f>
        <v/>
      </c>
      <c r="AO35" s="33">
        <f>RANK(AN35,AN$3:AN$51)</f>
        <v/>
      </c>
      <c r="AP35" s="33">
        <f>(49-AF35)+(49-AJ35)+(49-AM35)</f>
        <v/>
      </c>
      <c r="AQ35" s="33">
        <f>RANK(AP35,AP$3:AP$51)</f>
        <v/>
      </c>
      <c r="AR35" s="33">
        <f>SUMPRODUCT(--(((AF35&lt;$AF$3:$AF$51)+(AJ35&lt;$AJ$3:$AJ$51)+(AM35&lt;$AM$3:$AM$51))&gt;=2))
-SUMPRODUCT(--(((AF35&gt;$AF$3:$AF$51)+(AJ35&gt;$AJ$3:$AJ$51)+(AM35&gt;$AM$3:$AM$51))&gt;=2))</f>
        <v/>
      </c>
      <c r="AS35" s="33">
        <f>RANK(AR35,AR$3:AR$51)</f>
        <v/>
      </c>
      <c r="AT35" s="37" t="n">
        <v>33</v>
      </c>
      <c r="AU35" s="33" t="n">
        <v>1.589439228134484e-09</v>
      </c>
    </row>
    <row r="36" ht="15.75" customHeight="1" s="45">
      <c r="A36" s="28" t="inlineStr">
        <is>
          <t>DXCM</t>
        </is>
      </c>
      <c r="B36" s="28" t="inlineStr">
        <is>
          <t>Dexcom Inc</t>
        </is>
      </c>
      <c r="C36" s="28" t="inlineStr">
        <is>
          <t>Healthcare</t>
        </is>
      </c>
      <c r="D36" s="28" t="inlineStr">
        <is>
          <t>Medical Devices</t>
        </is>
      </c>
      <c r="E36" s="28" t="inlineStr">
        <is>
          <t>USA</t>
        </is>
      </c>
      <c r="F36" s="28" t="inlineStr">
        <is>
          <t>34.52B</t>
        </is>
      </c>
      <c r="G36" s="28" t="inlineStr">
        <is>
          <t>36,11</t>
        </is>
      </c>
      <c r="H36" s="28" t="n">
        <v>91.48</v>
      </c>
      <c r="I36" s="28" t="inlineStr">
        <is>
          <t>0,75%</t>
        </is>
      </c>
      <c r="J36" s="26" t="n">
        <v>4686453</v>
      </c>
      <c r="K36" s="28" t="n">
        <v>0.53</v>
      </c>
      <c r="L36" s="28" t="n">
        <v>80.16</v>
      </c>
      <c r="M36" s="28" t="inlineStr">
        <is>
          <t>N/A</t>
        </is>
      </c>
      <c r="N36" s="28" t="n">
        <v>0</v>
      </c>
      <c r="O36" s="28" t="n">
        <v>3.18</v>
      </c>
      <c r="P36" s="28" t="n">
        <v>27.49</v>
      </c>
      <c r="Q36" s="28" t="inlineStr">
        <is>
          <t>5 años</t>
        </is>
      </c>
      <c r="R36" s="39" t="n">
        <v>1.41</v>
      </c>
      <c r="U36" s="41">
        <f>IF(E36="USA",R36,"completar")</f>
        <v/>
      </c>
      <c r="V36" s="28" t="n">
        <v>10</v>
      </c>
      <c r="W36" s="29" t="n">
        <v>2.53</v>
      </c>
      <c r="X36" s="29" t="n">
        <v>36.11</v>
      </c>
      <c r="Y36" s="28" t="n">
        <v>4.63</v>
      </c>
      <c r="Z36" s="4">
        <f>VLOOKUP(C36,$C$53:$D$61,2,0)</f>
        <v/>
      </c>
      <c r="AA36" s="28">
        <f>Y36+U36*(V36-Y36)</f>
        <v/>
      </c>
      <c r="AB36" s="28">
        <f>1/((AA36-Z36)/100)</f>
        <v/>
      </c>
      <c r="AC36" s="32">
        <f>(AB36/X36)^(1/AD36)-1</f>
        <v/>
      </c>
      <c r="AD36" s="4" t="n">
        <v>7</v>
      </c>
      <c r="AE36" s="32">
        <f>N36/100+P36/100+O36/100+AC36</f>
        <v/>
      </c>
      <c r="AF36" s="33">
        <f>RANK(AE36,AE$3:AE$51)</f>
        <v/>
      </c>
      <c r="AG36" s="28">
        <f>1.16+Y36</f>
        <v/>
      </c>
      <c r="AH36" s="47">
        <f>W36*(8.5+2*P36)*4.4/AG36</f>
        <v/>
      </c>
      <c r="AI36" s="32">
        <f>AH36/$H36-1</f>
        <v/>
      </c>
      <c r="AJ36" s="33">
        <f>RANK(AI36,AI$3:AI$51)</f>
        <v/>
      </c>
      <c r="AK36" s="48" t="n">
        <v>79</v>
      </c>
      <c r="AL36" s="32">
        <f>AK36/$H36-1</f>
        <v/>
      </c>
      <c r="AM36" s="33">
        <f>RANK(AL36,AL$3:AL$51)</f>
        <v/>
      </c>
      <c r="AN36" s="33">
        <f>1/(60+AF36)+1/(60+AJ36)+1/(60+AM36)</f>
        <v/>
      </c>
      <c r="AO36" s="33">
        <f>RANK(AN36,AN$3:AN$51)</f>
        <v/>
      </c>
      <c r="AP36" s="33">
        <f>(49-AF36)+(49-AJ36)+(49-AM36)</f>
        <v/>
      </c>
      <c r="AQ36" s="33">
        <f>RANK(AP36,AP$3:AP$51)</f>
        <v/>
      </c>
      <c r="AR36" s="33">
        <f>SUMPRODUCT(--(((AF36&lt;$AF$3:$AF$51)+(AJ36&lt;$AJ$3:$AJ$51)+(AM36&lt;$AM$3:$AM$51))&gt;=2))
-SUMPRODUCT(--(((AF36&gt;$AF$3:$AF$51)+(AJ36&gt;$AJ$3:$AJ$51)+(AM36&gt;$AM$3:$AM$51))&gt;=2))</f>
        <v/>
      </c>
      <c r="AS36" s="33">
        <f>RANK(AR36,AR$3:AR$51)</f>
        <v/>
      </c>
      <c r="AT36" s="37" t="n">
        <v>34</v>
      </c>
      <c r="AU36" s="33" t="n">
        <v>1.774875844368869e-07</v>
      </c>
    </row>
    <row r="37" ht="15.75" customHeight="1" s="45">
      <c r="A37" s="28" t="inlineStr">
        <is>
          <t>SIMO</t>
        </is>
      </c>
      <c r="B37" s="28" t="inlineStr">
        <is>
          <t>Silicon Motion Technology Corp ADR</t>
        </is>
      </c>
      <c r="C37" s="28" t="inlineStr">
        <is>
          <t>Technology</t>
        </is>
      </c>
      <c r="D37" s="28" t="inlineStr">
        <is>
          <t>Semiconductors</t>
        </is>
      </c>
      <c r="E37" s="28" t="inlineStr">
        <is>
          <t>Hong Kong</t>
        </is>
      </c>
      <c r="F37" s="28" t="inlineStr">
        <is>
          <t>8.45B</t>
        </is>
      </c>
      <c r="G37" s="28" t="n">
        <v>29.21</v>
      </c>
      <c r="H37" s="28" t="n">
        <v>249.12</v>
      </c>
      <c r="I37" s="28" t="n">
        <v>0.0324</v>
      </c>
      <c r="J37" s="28" t="inlineStr">
        <is>
          <t>1,011,702</t>
        </is>
      </c>
      <c r="K37" s="28" t="n">
        <v>0.06</v>
      </c>
      <c r="L37" s="28" t="n">
        <v>0</v>
      </c>
      <c r="M37" s="28" t="inlineStr">
        <is>
          <t>N/A</t>
        </is>
      </c>
      <c r="N37" s="28" t="n">
        <v>1.7</v>
      </c>
      <c r="O37" s="28" t="n">
        <v>0</v>
      </c>
      <c r="P37" s="28" t="n">
        <v>17.16</v>
      </c>
      <c r="Q37" s="28" t="inlineStr">
        <is>
          <t>L10Y</t>
        </is>
      </c>
      <c r="R37" s="28" t="inlineStr">
        <is>
          <t>-</t>
        </is>
      </c>
      <c r="S37" s="28" t="inlineStr">
        <is>
          <t>Morningstar China GR CNY</t>
        </is>
      </c>
      <c r="T37" s="28" t="n">
        <v>4.57</v>
      </c>
      <c r="U37" s="28" t="n">
        <v>1.71</v>
      </c>
      <c r="V37" s="28" t="n">
        <v>10</v>
      </c>
      <c r="W37" s="28" t="n">
        <v>8.539999999999999</v>
      </c>
      <c r="X37" s="28" t="n">
        <v>31.45</v>
      </c>
      <c r="Y37" s="28" t="n">
        <v>4.63</v>
      </c>
      <c r="Z37" s="4">
        <f>VLOOKUP(C37,$C$53:$D$61,2,0)</f>
        <v/>
      </c>
      <c r="AA37" s="28">
        <f>Y37+U37*(V37-Y37)</f>
        <v/>
      </c>
      <c r="AB37" s="28">
        <f>1/((AA37-Z37)/100)</f>
        <v/>
      </c>
      <c r="AC37" s="32">
        <f>(AB37/X37)^(1/AD37)-1</f>
        <v/>
      </c>
      <c r="AD37" s="4" t="n">
        <v>7</v>
      </c>
      <c r="AE37" s="32">
        <f>N37/100+P37/100+O37/100+AC37</f>
        <v/>
      </c>
      <c r="AF37" s="33">
        <f>RANK(AE37,AE$3:AE$51)</f>
        <v/>
      </c>
      <c r="AG37" s="28">
        <f>1.16+Y37</f>
        <v/>
      </c>
      <c r="AH37" s="47">
        <f>W37*(8.5+2*P37)*4.4/AG37</f>
        <v/>
      </c>
      <c r="AI37" s="32">
        <f>AH37/$H37-1</f>
        <v/>
      </c>
      <c r="AJ37" s="33">
        <f>RANK(AI37,AI$3:AI$51)</f>
        <v/>
      </c>
      <c r="AK37" s="49" t="n">
        <v>248.27</v>
      </c>
      <c r="AL37" s="32">
        <f>AK37/$H37-1</f>
        <v/>
      </c>
      <c r="AM37" s="33">
        <f>RANK(AL37,AL$3:AL$51)</f>
        <v/>
      </c>
      <c r="AN37" s="33">
        <f>1/(60+AF37)+1/(60+AJ37)+1/(60+AM37)</f>
        <v/>
      </c>
      <c r="AO37" s="33">
        <f>RANK(AN37,AN$3:AN$51)</f>
        <v/>
      </c>
      <c r="AP37" s="33">
        <f>(49-AF37)+(49-AJ37)+(49-AM37)</f>
        <v/>
      </c>
      <c r="AQ37" s="33">
        <f>RANK(AP37,AP$3:AP$51)</f>
        <v/>
      </c>
      <c r="AR37" s="33">
        <f>SUMPRODUCT(--(((AF37&lt;$AF$3:$AF$51)+(AJ37&lt;$AJ$3:$AJ$51)+(AM37&lt;$AM$3:$AM$51))&gt;=2))
-SUMPRODUCT(--(((AF37&gt;$AF$3:$AF$51)+(AJ37&gt;$AJ$3:$AJ$51)+(AM37&gt;$AM$3:$AM$51))&gt;=2))</f>
        <v/>
      </c>
      <c r="AS37" s="33">
        <f>RANK(AR37,AR$3:AR$51)</f>
        <v/>
      </c>
      <c r="AT37" s="37" t="n">
        <v>35</v>
      </c>
      <c r="AU37" s="33" t="n">
        <v>1.981125400843592e-09</v>
      </c>
    </row>
    <row r="38" ht="15.75" customHeight="1" s="45">
      <c r="A38" s="28" t="inlineStr">
        <is>
          <t>ASML</t>
        </is>
      </c>
      <c r="B38" s="28" t="inlineStr">
        <is>
          <t>ASML Holding NV</t>
        </is>
      </c>
      <c r="C38" s="28" t="inlineStr">
        <is>
          <t>Technology</t>
        </is>
      </c>
      <c r="D38" s="28" t="inlineStr">
        <is>
          <t>Semiconductor Equipment &amp; Materials</t>
        </is>
      </c>
      <c r="E38" s="28" t="inlineStr">
        <is>
          <t>Netherlands</t>
        </is>
      </c>
      <c r="F38" s="28" t="inlineStr">
        <is>
          <t>712.22B</t>
        </is>
      </c>
      <c r="G38" s="28" t="inlineStr">
        <is>
          <t>57,53</t>
        </is>
      </c>
      <c r="H38" s="28" t="n">
        <v>1847.9</v>
      </c>
      <c r="I38" s="28" t="inlineStr">
        <is>
          <t>2,09%</t>
        </is>
      </c>
      <c r="J38" s="26" t="n">
        <v>1236762</v>
      </c>
      <c r="K38" s="28" t="n">
        <v>0.09</v>
      </c>
      <c r="L38" s="28" t="n">
        <v>95.53</v>
      </c>
      <c r="M38" s="28" t="inlineStr">
        <is>
          <t>N/A</t>
        </is>
      </c>
      <c r="N38" s="28" t="n">
        <v>0.49</v>
      </c>
      <c r="O38" s="28" t="n">
        <v>0.63</v>
      </c>
      <c r="P38" s="28" t="n">
        <v>24.76</v>
      </c>
      <c r="Q38" s="28" t="inlineStr">
        <is>
          <t>(promedio en 10años)</t>
        </is>
      </c>
      <c r="R38" s="39" t="n">
        <v>1.37</v>
      </c>
      <c r="U38" s="43" t="n">
        <v>1.37</v>
      </c>
      <c r="V38" s="28" t="n">
        <v>10</v>
      </c>
      <c r="W38" s="29" t="n">
        <v>25.41</v>
      </c>
      <c r="X38" s="29" t="n">
        <v>57.53</v>
      </c>
      <c r="Y38" s="28" t="n">
        <v>4.63</v>
      </c>
      <c r="Z38" s="4">
        <f>VLOOKUP(C38,$C$53:$D$61,2,0)</f>
        <v/>
      </c>
      <c r="AA38" s="28">
        <f>Y38+U38*(V38-Y38)</f>
        <v/>
      </c>
      <c r="AB38" s="28">
        <f>1/((AA38-Z38)/100)</f>
        <v/>
      </c>
      <c r="AC38" s="32">
        <f>(AB38/X38)^(1/AD38)-1</f>
        <v/>
      </c>
      <c r="AD38" s="4" t="n">
        <v>7</v>
      </c>
      <c r="AE38" s="32">
        <f>N38/100+P38/100+O38/100+AC38</f>
        <v/>
      </c>
      <c r="AF38" s="33">
        <f>RANK(AE38,AE$3:AE$51)</f>
        <v/>
      </c>
      <c r="AG38" s="28">
        <f>1.16+Y38</f>
        <v/>
      </c>
      <c r="AH38" s="47">
        <f>W38*(8.5+2*P38)*4.4/AG38</f>
        <v/>
      </c>
      <c r="AI38" s="32">
        <f>AH38/$H38-1</f>
        <v/>
      </c>
      <c r="AJ38" s="33">
        <f>RANK(AI38,AI$3:AI$51)</f>
        <v/>
      </c>
      <c r="AK38" s="49" t="n">
        <v>2050</v>
      </c>
      <c r="AL38" s="32">
        <f>AK38/$H38-1</f>
        <v/>
      </c>
      <c r="AM38" s="33">
        <f>RANK(AL38,AL$3:AL$51)</f>
        <v/>
      </c>
      <c r="AN38" s="33">
        <f>1/(60+AF38)+1/(60+AJ38)+1/(60+AM38)</f>
        <v/>
      </c>
      <c r="AO38" s="33">
        <f>RANK(AN38,AN$3:AN$51)</f>
        <v/>
      </c>
      <c r="AP38" s="33">
        <f>(49-AF38)+(49-AJ38)+(49-AM38)</f>
        <v/>
      </c>
      <c r="AQ38" s="33">
        <f>RANK(AP38,AP$3:AP$51)</f>
        <v/>
      </c>
      <c r="AR38" s="33">
        <f>SUMPRODUCT(--(((AF38&lt;$AF$3:$AF$51)+(AJ38&lt;$AJ$3:$AJ$51)+(AM38&lt;$AM$3:$AM$51))&gt;=2))
-SUMPRODUCT(--(((AF38&gt;$AF$3:$AF$51)+(AJ38&gt;$AJ$3:$AJ$51)+(AM38&gt;$AM$3:$AM$51))&gt;=2))</f>
        <v/>
      </c>
      <c r="AS38" s="33">
        <f>RANK(AR38,AR$3:AR$51)</f>
        <v/>
      </c>
      <c r="AT38" s="37" t="n">
        <v>36</v>
      </c>
      <c r="AU38" s="33" t="n">
        <v>2.165614972394365e-09</v>
      </c>
    </row>
    <row r="39" ht="15.75" customHeight="1" s="45">
      <c r="A39" s="28" t="inlineStr">
        <is>
          <t>DAVE</t>
        </is>
      </c>
      <c r="B39" s="28" t="inlineStr">
        <is>
          <t>Dave Inc</t>
        </is>
      </c>
      <c r="C39" s="28" t="inlineStr">
        <is>
          <t>Technology</t>
        </is>
      </c>
      <c r="D39" s="28" t="inlineStr">
        <is>
          <t>Software - Application</t>
        </is>
      </c>
      <c r="E39" s="28" t="inlineStr">
        <is>
          <t>USA</t>
        </is>
      </c>
      <c r="F39" s="28" t="inlineStr">
        <is>
          <t>4.26B</t>
        </is>
      </c>
      <c r="G39" s="28" t="inlineStr">
        <is>
          <t>21,64</t>
        </is>
      </c>
      <c r="H39" s="28" t="n">
        <v>333.77</v>
      </c>
      <c r="I39" s="28" t="inlineStr">
        <is>
          <t>5,56%</t>
        </is>
      </c>
      <c r="J39" s="26" t="n">
        <v>525264</v>
      </c>
      <c r="K39" s="28" t="n">
        <v>1.29</v>
      </c>
      <c r="L39" s="28" t="n">
        <v>29.21</v>
      </c>
      <c r="M39" s="28" t="inlineStr">
        <is>
          <t>N/A</t>
        </is>
      </c>
      <c r="N39" s="28" t="n">
        <v>0</v>
      </c>
      <c r="O39" s="28" t="n">
        <v>5.59</v>
      </c>
      <c r="P39" s="28" t="n">
        <v>16.11</v>
      </c>
      <c r="Q39" s="28" t="inlineStr">
        <is>
          <t>-</t>
        </is>
      </c>
      <c r="R39" s="39" t="n">
        <v>3.86</v>
      </c>
      <c r="U39" s="41">
        <f>IF(E39="USA",R39,"completar")</f>
        <v/>
      </c>
      <c r="V39" s="28" t="n">
        <v>10</v>
      </c>
      <c r="W39" s="29" t="n">
        <v>15.51</v>
      </c>
      <c r="X39" s="29" t="n">
        <v>21.64</v>
      </c>
      <c r="Y39" s="28" t="n">
        <v>4.63</v>
      </c>
      <c r="Z39" s="4">
        <f>VLOOKUP(C39,$C$53:$D$61,2,0)</f>
        <v/>
      </c>
      <c r="AA39" s="28">
        <f>Y39+U39*(V39-Y39)</f>
        <v/>
      </c>
      <c r="AB39" s="28">
        <f>1/((AA39-Z39)/100)</f>
        <v/>
      </c>
      <c r="AC39" s="32">
        <f>(AB39/X39)^(1/AD39)-1</f>
        <v/>
      </c>
      <c r="AD39" s="4" t="n">
        <v>7</v>
      </c>
      <c r="AE39" s="32">
        <f>N39/100+P39/100+O39/100+AC39</f>
        <v/>
      </c>
      <c r="AF39" s="33">
        <f>RANK(AE39,AE$3:AE$51)</f>
        <v/>
      </c>
      <c r="AG39" s="28">
        <f>1.16+Y39</f>
        <v/>
      </c>
      <c r="AH39" s="47">
        <f>W39*(8.5+2*P39)*4.4/AG39</f>
        <v/>
      </c>
      <c r="AI39" s="32">
        <f>AH39/$H39-1</f>
        <v/>
      </c>
      <c r="AJ39" s="33">
        <f>RANK(AI39,AI$3:AI$51)</f>
        <v/>
      </c>
      <c r="AK39" s="48" t="n">
        <v>322.62</v>
      </c>
      <c r="AL39" s="32">
        <f>AK39/$H39-1</f>
        <v/>
      </c>
      <c r="AM39" s="33">
        <f>RANK(AL39,AL$3:AL$51)</f>
        <v/>
      </c>
      <c r="AN39" s="33">
        <f>1/(60+AF39)+1/(60+AJ39)+1/(60+AM39)</f>
        <v/>
      </c>
      <c r="AO39" s="33">
        <f>RANK(AN39,AN$3:AN$51)</f>
        <v/>
      </c>
      <c r="AP39" s="33">
        <f>(49-AF39)+(49-AJ39)+(49-AM39)</f>
        <v/>
      </c>
      <c r="AQ39" s="33">
        <f>RANK(AP39,AP$3:AP$51)</f>
        <v/>
      </c>
      <c r="AR39" s="33">
        <f>SUMPRODUCT(--(((AF39&lt;$AF$3:$AF$51)+(AJ39&lt;$AJ$3:$AJ$51)+(AM39&lt;$AM$3:$AM$51))&gt;=2))
-SUMPRODUCT(--(((AF39&gt;$AF$3:$AF$51)+(AJ39&gt;$AJ$3:$AJ$51)+(AM39&gt;$AM$3:$AM$51))&gt;=2))</f>
        <v/>
      </c>
      <c r="AS39" s="33">
        <f>RANK(AR39,AR$3:AR$51)</f>
        <v/>
      </c>
      <c r="AT39" s="33" t="n">
        <v>37</v>
      </c>
      <c r="AU39" s="33" t="n">
        <v>8.504043351460539e-10</v>
      </c>
    </row>
    <row r="40" ht="15.75" customHeight="1" s="45">
      <c r="A40" s="28" t="inlineStr">
        <is>
          <t>FIX</t>
        </is>
      </c>
      <c r="B40" s="28" t="inlineStr">
        <is>
          <t>Comfort Systems USA Inc</t>
        </is>
      </c>
      <c r="C40" s="28" t="inlineStr">
        <is>
          <t>Industrials</t>
        </is>
      </c>
      <c r="D40" s="28" t="inlineStr">
        <is>
          <t>Engineering &amp; Construction</t>
        </is>
      </c>
      <c r="E40" s="28" t="inlineStr">
        <is>
          <t>USA</t>
        </is>
      </c>
      <c r="F40" s="28" t="inlineStr">
        <is>
          <t>60.80B</t>
        </is>
      </c>
      <c r="G40" s="28" t="n">
        <v>42.51</v>
      </c>
      <c r="H40" s="28" t="n">
        <v>1727.64</v>
      </c>
      <c r="I40" s="28" t="n">
        <v>-64</v>
      </c>
      <c r="J40" s="28" t="n">
        <v>310.879</v>
      </c>
      <c r="K40" s="28" t="n">
        <v>0.1</v>
      </c>
      <c r="L40" s="28" t="n">
        <v>245.61</v>
      </c>
      <c r="M40" s="28" t="inlineStr">
        <is>
          <t>N/A</t>
        </is>
      </c>
      <c r="N40" s="28" t="n">
        <v>0.17</v>
      </c>
      <c r="O40" s="28" t="n">
        <v>0.18</v>
      </c>
      <c r="P40" s="28" t="n">
        <v>38.86</v>
      </c>
      <c r="Q40" s="28" t="inlineStr">
        <is>
          <t>10 años</t>
        </is>
      </c>
      <c r="R40" s="29" t="n">
        <v>1.69</v>
      </c>
      <c r="U40" s="28">
        <f>IF(E40="USA",R40,"completar")</f>
        <v/>
      </c>
      <c r="V40" s="28" t="n">
        <v>10</v>
      </c>
      <c r="W40" s="29" t="n">
        <v>40.65</v>
      </c>
      <c r="X40" s="29" t="n">
        <v>42.51</v>
      </c>
      <c r="Y40" s="28" t="n">
        <v>4.63</v>
      </c>
      <c r="Z40" s="4">
        <f>VLOOKUP(C40,$C$53:$D$61,2,0)</f>
        <v/>
      </c>
      <c r="AA40" s="28">
        <f>Y40+U40*(V40-Y40)</f>
        <v/>
      </c>
      <c r="AB40" s="28">
        <f>1/((AA40-Z40)/100)</f>
        <v/>
      </c>
      <c r="AC40" s="32">
        <f>(AB40/X40)^(1/AD40)-1</f>
        <v/>
      </c>
      <c r="AD40" s="4" t="n">
        <v>7</v>
      </c>
      <c r="AE40" s="32">
        <f>N40/100+P40/100+O40/100+AC40</f>
        <v/>
      </c>
      <c r="AF40" s="33">
        <f>RANK(AE40,AE$3:AE$51)</f>
        <v/>
      </c>
      <c r="AG40" s="28">
        <f>1.16+Y40</f>
        <v/>
      </c>
      <c r="AH40" s="47">
        <f>W40*(8.5+2*P40)*4.4/AG40</f>
        <v/>
      </c>
      <c r="AI40" s="32">
        <f>AH40/$H40-1</f>
        <v/>
      </c>
      <c r="AJ40" s="33">
        <f>RANK(AI40,AI$3:AI$51)</f>
        <v/>
      </c>
      <c r="AK40" s="48" t="n">
        <v>1341.58</v>
      </c>
      <c r="AL40" s="32">
        <f>AK40/$H40-1</f>
        <v/>
      </c>
      <c r="AM40" s="33">
        <f>RANK(AL40,AL$3:AL$51)</f>
        <v/>
      </c>
      <c r="AN40" s="33">
        <f>1/(60+AF40)+1/(60+AJ40)+1/(60+AM40)</f>
        <v/>
      </c>
      <c r="AO40" s="33">
        <f>RANK(AN40,AN$3:AN$51)</f>
        <v/>
      </c>
      <c r="AP40" s="33">
        <f>(49-AF40)+(49-AJ40)+(49-AM40)</f>
        <v/>
      </c>
      <c r="AQ40" s="33">
        <f>RANK(AP40,AP$3:AP$51)</f>
        <v/>
      </c>
      <c r="AR40" s="33">
        <f>SUMPRODUCT(--(((AF40&lt;$AF$3:$AF$51)+(AJ40&lt;$AJ$3:$AJ$51)+(AM40&lt;$AM$3:$AM$51))&gt;=2))
-SUMPRODUCT(--(((AF40&gt;$AF$3:$AF$51)+(AJ40&gt;$AJ$3:$AJ$51)+(AM40&gt;$AM$3:$AM$51))&gt;=2))</f>
        <v/>
      </c>
      <c r="AS40" s="33">
        <f>RANK(AR40,AR$3:AR$51)</f>
        <v/>
      </c>
      <c r="AT40" s="33" t="n">
        <v>38</v>
      </c>
      <c r="AU40" s="33" t="n">
        <v>1.338187160820664e-09</v>
      </c>
    </row>
    <row r="41" ht="15.75" customHeight="1" s="45">
      <c r="A41" s="28" t="inlineStr">
        <is>
          <t>MYRG</t>
        </is>
      </c>
      <c r="B41" s="28" t="inlineStr">
        <is>
          <t>MYR Group Inc</t>
        </is>
      </c>
      <c r="C41" s="28" t="inlineStr">
        <is>
          <t>Industrials</t>
        </is>
      </c>
      <c r="D41" s="28" t="inlineStr">
        <is>
          <t>Engineering &amp; Construction</t>
        </is>
      </c>
      <c r="E41" s="28" t="inlineStr">
        <is>
          <t>USA</t>
        </is>
      </c>
      <c r="F41" s="28" t="inlineStr">
        <is>
          <t>5.10B</t>
        </is>
      </c>
      <c r="G41" s="28" t="n">
        <v>31.05</v>
      </c>
      <c r="H41" s="28" t="n">
        <v>327.28</v>
      </c>
      <c r="I41" s="28" t="n">
        <v>-162</v>
      </c>
      <c r="J41" s="28" t="n">
        <v>290.435</v>
      </c>
      <c r="K41" s="28" t="n">
        <v>0.09</v>
      </c>
      <c r="L41" s="28" t="n">
        <v>60.56</v>
      </c>
      <c r="M41" s="28" t="inlineStr">
        <is>
          <t>N/A</t>
        </is>
      </c>
      <c r="N41" s="28" t="n">
        <v>0</v>
      </c>
      <c r="O41" s="28" t="n">
        <v>0</v>
      </c>
      <c r="P41" s="28" t="n">
        <v>26.17</v>
      </c>
      <c r="Q41" s="28" t="inlineStr">
        <is>
          <t>10 años</t>
        </is>
      </c>
      <c r="R41" s="29" t="n">
        <v>1.36</v>
      </c>
      <c r="U41" s="28">
        <f>IF(E41="USA",R41,"completar")</f>
        <v/>
      </c>
      <c r="V41" s="28" t="n">
        <v>10</v>
      </c>
      <c r="W41" s="29" t="n">
        <v>10.53</v>
      </c>
      <c r="X41" s="29" t="n">
        <v>31.05</v>
      </c>
      <c r="Y41" s="28" t="n">
        <v>4.63</v>
      </c>
      <c r="Z41" s="4">
        <f>VLOOKUP(C41,$C$53:$D$61,2,0)</f>
        <v/>
      </c>
      <c r="AA41" s="28">
        <f>Y41+U41*(V41-Y41)</f>
        <v/>
      </c>
      <c r="AB41" s="28">
        <f>1/((AA41-Z41)/100)</f>
        <v/>
      </c>
      <c r="AC41" s="32">
        <f>(AB41/X41)^(1/AD41)-1</f>
        <v/>
      </c>
      <c r="AD41" s="4" t="n">
        <v>7</v>
      </c>
      <c r="AE41" s="32">
        <f>N41/100+P41/100+O41/100+AC41</f>
        <v/>
      </c>
      <c r="AF41" s="33">
        <f>RANK(AE41,AE$3:AE$51)</f>
        <v/>
      </c>
      <c r="AG41" s="28">
        <f>1.16+Y41</f>
        <v/>
      </c>
      <c r="AH41" s="47">
        <f>W41*(8.5+2*P41)*4.4/AG41</f>
        <v/>
      </c>
      <c r="AI41" s="32">
        <f>AH41/$H41-1</f>
        <v/>
      </c>
      <c r="AJ41" s="33">
        <f>RANK(AI41,AI$3:AI$51)</f>
        <v/>
      </c>
      <c r="AK41" s="48" t="n">
        <v>270.51</v>
      </c>
      <c r="AL41" s="32">
        <f>AK41/$H41-1</f>
        <v/>
      </c>
      <c r="AM41" s="33">
        <f>RANK(AL41,AL$3:AL$51)</f>
        <v/>
      </c>
      <c r="AN41" s="33">
        <f>1/(60+AF41)+1/(60+AJ41)+1/(60+AM41)</f>
        <v/>
      </c>
      <c r="AO41" s="33">
        <f>RANK(AN41,AN$3:AN$51)</f>
        <v/>
      </c>
      <c r="AP41" s="33">
        <f>(49-AF41)+(49-AJ41)+(49-AM41)</f>
        <v/>
      </c>
      <c r="AQ41" s="33">
        <f>RANK(AP41,AP$3:AP$51)</f>
        <v/>
      </c>
      <c r="AR41" s="33">
        <f>SUMPRODUCT(--(((AF41&lt;$AF$3:$AF$51)+(AJ41&lt;$AJ$3:$AJ$51)+(AM41&lt;$AM$3:$AM$51))&gt;=2))
-SUMPRODUCT(--(((AF41&gt;$AF$3:$AF$51)+(AJ41&gt;$AJ$3:$AJ$51)+(AM41&gt;$AM$3:$AM$51))&gt;=2))</f>
        <v/>
      </c>
      <c r="AS41" s="33">
        <f>RANK(AR41,AR$3:AR$51)</f>
        <v/>
      </c>
      <c r="AT41" s="33" t="n">
        <v>39</v>
      </c>
      <c r="AU41" s="33" t="n">
        <v>1.530872699986362e-09</v>
      </c>
    </row>
    <row r="42" ht="15.75" customHeight="1" s="45">
      <c r="A42" s="28" t="inlineStr">
        <is>
          <t>LRCX</t>
        </is>
      </c>
      <c r="B42" s="28" t="inlineStr">
        <is>
          <t>Lam Research Corp</t>
        </is>
      </c>
      <c r="C42" s="28" t="inlineStr">
        <is>
          <t>Technology</t>
        </is>
      </c>
      <c r="D42" s="28" t="inlineStr">
        <is>
          <t>Semiconductor Equipment &amp; Materials</t>
        </is>
      </c>
      <c r="E42" s="28" t="inlineStr">
        <is>
          <t>USA</t>
        </is>
      </c>
      <c r="F42" s="28" t="inlineStr">
        <is>
          <t>421.71B</t>
        </is>
      </c>
      <c r="G42" s="28" t="n">
        <v>58.47</v>
      </c>
      <c r="H42" s="28" t="n">
        <v>337.01</v>
      </c>
      <c r="I42" s="28" t="n">
        <v>334</v>
      </c>
      <c r="J42" s="28" t="inlineStr">
        <is>
          <t>8.898.765</t>
        </is>
      </c>
      <c r="K42" s="28" t="n">
        <v>0.3</v>
      </c>
      <c r="L42" s="28" t="n">
        <v>52.42</v>
      </c>
      <c r="M42" s="28" t="inlineStr">
        <is>
          <t>N/A</t>
        </is>
      </c>
      <c r="N42" s="28" t="n">
        <v>0.31</v>
      </c>
      <c r="O42" s="28" t="n">
        <v>0.92</v>
      </c>
      <c r="P42" s="28" t="n">
        <v>27.14</v>
      </c>
      <c r="Q42" s="28" t="inlineStr">
        <is>
          <t>10 años</t>
        </is>
      </c>
      <c r="R42" s="29" t="n">
        <v>1.83</v>
      </c>
      <c r="U42" s="28">
        <f>IF(E42="USA",R42,"completar")</f>
        <v/>
      </c>
      <c r="V42" s="28" t="n">
        <v>10</v>
      </c>
      <c r="W42" s="29" t="n">
        <v>5.76</v>
      </c>
      <c r="X42" s="29" t="n">
        <v>58.47</v>
      </c>
      <c r="Y42" s="28" t="n">
        <v>4.63</v>
      </c>
      <c r="Z42" s="4">
        <f>VLOOKUP(C42,$C$53:$D$61,2,0)</f>
        <v/>
      </c>
      <c r="AA42" s="28">
        <f>Y42+U42*(V42-Y42)</f>
        <v/>
      </c>
      <c r="AB42" s="28">
        <f>1/((AA42-Z42)/100)</f>
        <v/>
      </c>
      <c r="AC42" s="32">
        <f>(AB42/X42)^(1/AD42)-1</f>
        <v/>
      </c>
      <c r="AD42" s="4" t="n">
        <v>7</v>
      </c>
      <c r="AE42" s="32">
        <f>N42/100+P42/100+O42/100+AC42</f>
        <v/>
      </c>
      <c r="AF42" s="33">
        <f>RANK(AE42,AE$3:AE$51)</f>
        <v/>
      </c>
      <c r="AG42" s="28">
        <f>1.16+Y42</f>
        <v/>
      </c>
      <c r="AH42" s="47">
        <f>W42*(8.5+2*P42)*4.4/AG42</f>
        <v/>
      </c>
      <c r="AI42" s="32">
        <f>AH42/$H42-1</f>
        <v/>
      </c>
      <c r="AJ42" s="33">
        <f>RANK(AI42,AI$3:AI$51)</f>
        <v/>
      </c>
      <c r="AK42" s="48" t="n">
        <v>310</v>
      </c>
      <c r="AL42" s="32">
        <f>AK42/$H42-1</f>
        <v/>
      </c>
      <c r="AM42" s="33">
        <f>RANK(AL42,AL$3:AL$51)</f>
        <v/>
      </c>
      <c r="AN42" s="33">
        <f>1/(60+AF42)+1/(60+AJ42)+1/(60+AM42)</f>
        <v/>
      </c>
      <c r="AO42" s="33">
        <f>RANK(AN42,AN$3:AN$51)</f>
        <v/>
      </c>
      <c r="AP42" s="33">
        <f>(49-AF42)+(49-AJ42)+(49-AM42)</f>
        <v/>
      </c>
      <c r="AQ42" s="33">
        <f>RANK(AP42,AP$3:AP$51)</f>
        <v/>
      </c>
      <c r="AR42" s="33">
        <f>SUMPRODUCT(--(((AF42&lt;$AF$3:$AF$51)+(AJ42&lt;$AJ$3:$AJ$51)+(AM42&lt;$AM$3:$AM$51))&gt;=2))
-SUMPRODUCT(--(((AF42&gt;$AF$3:$AF$51)+(AJ42&gt;$AJ$3:$AJ$51)+(AM42&gt;$AM$3:$AM$51))&gt;=2))</f>
        <v/>
      </c>
      <c r="AS42" s="33">
        <f>RANK(AR42,AR$3:AR$51)</f>
        <v/>
      </c>
      <c r="AT42" s="33" t="n">
        <v>40</v>
      </c>
      <c r="AU42" s="33" t="n">
        <v>1.378279284128284e-09</v>
      </c>
    </row>
    <row r="43" ht="15.75" customHeight="1" s="45">
      <c r="A43" s="28" t="inlineStr">
        <is>
          <t>SGHC</t>
        </is>
      </c>
      <c r="B43" s="28" t="inlineStr">
        <is>
          <t>Super Group (SGHC) Limited</t>
        </is>
      </c>
      <c r="C43" s="28" t="inlineStr">
        <is>
          <t>Consumer Cyclical</t>
        </is>
      </c>
      <c r="D43" s="28" t="inlineStr">
        <is>
          <t>Gambling</t>
        </is>
      </c>
      <c r="E43" s="28" t="inlineStr">
        <is>
          <t>United Kingdom</t>
        </is>
      </c>
      <c r="F43" s="28" t="inlineStr">
        <is>
          <t>6.65B</t>
        </is>
      </c>
      <c r="G43" s="28" t="inlineStr">
        <is>
          <t>17,99</t>
        </is>
      </c>
      <c r="H43" s="28" t="n">
        <v>13.09</v>
      </c>
      <c r="I43" s="28" t="inlineStr">
        <is>
          <t>2,19%</t>
        </is>
      </c>
      <c r="J43" s="26" t="n">
        <v>1224379</v>
      </c>
      <c r="K43" s="28" t="n">
        <v>0.13</v>
      </c>
      <c r="L43" s="28" t="n">
        <v>27.58</v>
      </c>
      <c r="M43" s="28" t="inlineStr">
        <is>
          <t>N/A</t>
        </is>
      </c>
      <c r="N43" s="28" t="n">
        <v>0.98</v>
      </c>
      <c r="O43" s="28" t="n">
        <v>0</v>
      </c>
      <c r="P43" s="28" t="n">
        <v>8.1</v>
      </c>
      <c r="Q43" s="28" t="inlineStr">
        <is>
          <t>Promedio en 5 años</t>
        </is>
      </c>
      <c r="R43" s="29" t="n">
        <v>0.98</v>
      </c>
      <c r="U43" s="4" t="n">
        <v>1.09</v>
      </c>
      <c r="V43" s="28" t="n">
        <v>10</v>
      </c>
      <c r="W43" s="29" t="n">
        <v>0.7</v>
      </c>
      <c r="X43" s="29" t="n">
        <v>18.28</v>
      </c>
      <c r="Y43" s="28" t="n">
        <v>4.63</v>
      </c>
      <c r="Z43" s="4">
        <f>VLOOKUP(C43,$C$53:$D$61,2,0)</f>
        <v/>
      </c>
      <c r="AA43" s="28">
        <f>Y43+U43*(V43-Y43)</f>
        <v/>
      </c>
      <c r="AB43" s="28">
        <f>1/((AA43-Z43)/100)</f>
        <v/>
      </c>
      <c r="AC43" s="32">
        <f>(AB43/X43)^(1/AD43)-1</f>
        <v/>
      </c>
      <c r="AD43" s="4" t="n">
        <v>7</v>
      </c>
      <c r="AE43" s="32">
        <f>N43/100+P43/100+O43/100+AC43</f>
        <v/>
      </c>
      <c r="AF43" s="33">
        <f>RANK(AE43,AE$3:AE$51)</f>
        <v/>
      </c>
      <c r="AG43" s="28">
        <f>1.16+Y43</f>
        <v/>
      </c>
      <c r="AH43" s="47">
        <f>W43*(8.5+2*P43)*4.4/AG43</f>
        <v/>
      </c>
      <c r="AI43" s="32">
        <f>AH43/$H43-1</f>
        <v/>
      </c>
      <c r="AJ43" s="33">
        <f>RANK(AI43,AI$3:AI$51)</f>
        <v/>
      </c>
      <c r="AK43" s="48" t="n">
        <v>11.22</v>
      </c>
      <c r="AL43" s="32">
        <f>AK43/$H43-1</f>
        <v/>
      </c>
      <c r="AM43" s="33">
        <f>RANK(AL43,AL$3:AL$51)</f>
        <v/>
      </c>
      <c r="AN43" s="33">
        <f>1/(60+AF43)+1/(60+AJ43)+1/(60+AM43)</f>
        <v/>
      </c>
      <c r="AO43" s="33">
        <f>RANK(AN43,AN$3:AN$51)</f>
        <v/>
      </c>
      <c r="AP43" s="33">
        <f>(49-AF43)+(49-AJ43)+(49-AM43)</f>
        <v/>
      </c>
      <c r="AQ43" s="33">
        <f>RANK(AP43,AP$3:AP$51)</f>
        <v/>
      </c>
      <c r="AR43" s="33">
        <f>SUMPRODUCT(--(((AF43&lt;$AF$3:$AF$51)+(AJ43&lt;$AJ$3:$AJ$51)+(AM43&lt;$AM$3:$AM$51))&gt;=2))
-SUMPRODUCT(--(((AF43&gt;$AF$3:$AF$51)+(AJ43&gt;$AJ$3:$AJ$51)+(AM43&gt;$AM$3:$AM$51))&gt;=2))</f>
        <v/>
      </c>
      <c r="AS43" s="33">
        <f>RANK(AR43,AR$3:AR$51)</f>
        <v/>
      </c>
      <c r="AT43" s="33" t="n">
        <v>41</v>
      </c>
      <c r="AU43" s="33" t="n">
        <v>2.298791677038354e-09</v>
      </c>
    </row>
    <row r="44" ht="15.75" customHeight="1" s="45">
      <c r="A44" s="28" t="inlineStr">
        <is>
          <t>IESC</t>
        </is>
      </c>
      <c r="B44" s="28" t="inlineStr">
        <is>
          <t>IES Holdings Inc</t>
        </is>
      </c>
      <c r="C44" s="28" t="inlineStr">
        <is>
          <t>Industrials</t>
        </is>
      </c>
      <c r="D44" s="28" t="inlineStr">
        <is>
          <t>Engineering &amp; Construction</t>
        </is>
      </c>
      <c r="E44" s="28" t="inlineStr">
        <is>
          <t>USA</t>
        </is>
      </c>
      <c r="F44" s="28" t="inlineStr">
        <is>
          <t>14.91B</t>
        </is>
      </c>
      <c r="G44" s="28" t="n">
        <v>33.26</v>
      </c>
      <c r="H44" s="28" t="n">
        <v>748.4400000000001</v>
      </c>
      <c r="I44" s="28" t="n">
        <v>-233</v>
      </c>
      <c r="J44" s="28" t="n">
        <v>112.734</v>
      </c>
      <c r="K44" s="28" t="n">
        <v>0.06</v>
      </c>
      <c r="L44" s="28" t="n">
        <v>200.17</v>
      </c>
      <c r="M44" s="28" t="inlineStr">
        <is>
          <t>N/A</t>
        </is>
      </c>
      <c r="N44" s="28" t="n">
        <v>0</v>
      </c>
      <c r="O44" s="28" t="n">
        <v>0.13</v>
      </c>
      <c r="P44" s="28" t="n">
        <v>31.22</v>
      </c>
      <c r="Q44" s="28" t="inlineStr">
        <is>
          <t>10 años</t>
        </is>
      </c>
      <c r="R44" s="29" t="n">
        <v>1.81</v>
      </c>
      <c r="U44" s="28">
        <f>IF(E44="USA",R44,"completar")</f>
        <v/>
      </c>
      <c r="V44" s="28" t="n">
        <v>10</v>
      </c>
      <c r="W44" s="29" t="n">
        <v>22.51</v>
      </c>
      <c r="X44" s="29" t="n">
        <v>33.26</v>
      </c>
      <c r="Y44" s="28" t="n">
        <v>4.63</v>
      </c>
      <c r="Z44" s="4">
        <f>VLOOKUP(C44,$C$53:$D$61,2,0)</f>
        <v/>
      </c>
      <c r="AA44" s="28">
        <f>Y44+U44*(V44-Y44)</f>
        <v/>
      </c>
      <c r="AB44" s="28">
        <f>1/((AA44-Z44)/100)</f>
        <v/>
      </c>
      <c r="AC44" s="32">
        <f>(AB44/X44)^(1/AD44)-1</f>
        <v/>
      </c>
      <c r="AD44" s="4" t="n">
        <v>7</v>
      </c>
      <c r="AE44" s="32">
        <f>N44/100+P44/100+O44/100+AC44</f>
        <v/>
      </c>
      <c r="AF44" s="33">
        <f>RANK(AE44,AE$3:AE$51)</f>
        <v/>
      </c>
      <c r="AG44" s="28">
        <f>1.16+Y44</f>
        <v/>
      </c>
      <c r="AH44" s="47">
        <f>W44*(8.5+2*P44)*4.4/AG44</f>
        <v/>
      </c>
      <c r="AI44" s="32">
        <f>AH44/$H44-1</f>
        <v/>
      </c>
      <c r="AJ44" s="33">
        <f>RANK(AI44,AI$3:AI$51)</f>
        <v/>
      </c>
      <c r="AK44" s="47" t="n"/>
      <c r="AL44" s="32">
        <f>AK44/$H44-1</f>
        <v/>
      </c>
      <c r="AM44" s="33">
        <f>RANK(AL44,AL$3:AL$51)</f>
        <v/>
      </c>
      <c r="AN44" s="33">
        <f>1/(60+AF44)+1/(60+AJ44)+1/(60+AM44)</f>
        <v/>
      </c>
      <c r="AO44" s="33">
        <f>RANK(AN44,AN$3:AN$51)</f>
        <v/>
      </c>
      <c r="AP44" s="33">
        <f>(49-AF44)+(49-AJ44)+(49-AM44)</f>
        <v/>
      </c>
      <c r="AQ44" s="33">
        <f>RANK(AP44,AP$3:AP$51)</f>
        <v/>
      </c>
      <c r="AR44" s="33">
        <f>SUMPRODUCT(--(((AF44&lt;$AF$3:$AF$51)+(AJ44&lt;$AJ$3:$AJ$51)+(AM44&lt;$AM$3:$AM$51))&gt;=2))
-SUMPRODUCT(--(((AF44&gt;$AF$3:$AF$51)+(AJ44&gt;$AJ$3:$AJ$51)+(AM44&gt;$AM$3:$AM$51))&gt;=2))</f>
        <v/>
      </c>
      <c r="AS44" s="33">
        <f>RANK(AR44,AR$3:AR$51)</f>
        <v/>
      </c>
      <c r="AT44" s="33" t="n">
        <v>42</v>
      </c>
      <c r="AU44" s="33" t="n">
        <v>1.065353252662006e-09</v>
      </c>
    </row>
    <row r="45" ht="15.75" customHeight="1" s="45">
      <c r="A45" s="28" t="inlineStr">
        <is>
          <t>ELMD</t>
        </is>
      </c>
      <c r="B45" s="28" t="inlineStr">
        <is>
          <t>Electromed Inc</t>
        </is>
      </c>
      <c r="C45" s="28" t="inlineStr">
        <is>
          <t>Healthcare</t>
        </is>
      </c>
      <c r="D45" s="28" t="inlineStr">
        <is>
          <t>Medical Devices</t>
        </is>
      </c>
      <c r="E45" s="28" t="inlineStr">
        <is>
          <t>USA</t>
        </is>
      </c>
      <c r="F45" s="28" t="inlineStr">
        <is>
          <t>352.24M</t>
        </is>
      </c>
      <c r="G45" s="28" t="n">
        <v>36.55</v>
      </c>
      <c r="H45" s="28" t="n">
        <v>42.54</v>
      </c>
      <c r="I45" s="28" t="n">
        <v>14</v>
      </c>
      <c r="J45" s="28" t="n">
        <v>67.605</v>
      </c>
      <c r="K45" s="28" t="inlineStr">
        <is>
          <t>-</t>
        </is>
      </c>
      <c r="L45" s="4" t="n">
        <v>0</v>
      </c>
      <c r="M45" s="28" t="inlineStr">
        <is>
          <t>N/A</t>
        </is>
      </c>
      <c r="N45" s="28" t="n">
        <v>0</v>
      </c>
      <c r="O45" s="28" t="n">
        <v>2.22</v>
      </c>
      <c r="P45" s="28" t="n">
        <v>19.29</v>
      </c>
      <c r="Q45" s="28" t="inlineStr">
        <is>
          <t>10 años</t>
        </is>
      </c>
      <c r="R45" s="29" t="n">
        <v>0.55</v>
      </c>
      <c r="U45" s="28">
        <f>IF(E45="USA",R45,"completar")</f>
        <v/>
      </c>
      <c r="V45" s="28" t="n">
        <v>10</v>
      </c>
      <c r="W45" s="29" t="n">
        <v>1.16</v>
      </c>
      <c r="X45" s="29" t="n">
        <v>36.55</v>
      </c>
      <c r="Y45" s="28" t="n">
        <v>4.63</v>
      </c>
      <c r="Z45" s="4">
        <f>VLOOKUP(C45,$C$53:$D$61,2,0)</f>
        <v/>
      </c>
      <c r="AA45" s="28">
        <f>Y45+U45*(V45-Y45)</f>
        <v/>
      </c>
      <c r="AB45" s="28">
        <f>1/((AA45-Z45)/100)</f>
        <v/>
      </c>
      <c r="AC45" s="32">
        <f>(AB45/X45)^(1/AD45)-1</f>
        <v/>
      </c>
      <c r="AD45" s="4" t="n">
        <v>7</v>
      </c>
      <c r="AE45" s="32">
        <f>N45/100+P45/100+O45/100+AC45</f>
        <v/>
      </c>
      <c r="AF45" s="33">
        <f>RANK(AE45,AE$3:AE$51)</f>
        <v/>
      </c>
      <c r="AG45" s="28">
        <f>1.16+Y45</f>
        <v/>
      </c>
      <c r="AH45" s="47">
        <f>W45*(8.5+2*P45)*4.4/AG45</f>
        <v/>
      </c>
      <c r="AI45" s="32">
        <f>AH45/$H45-1</f>
        <v/>
      </c>
      <c r="AJ45" s="33">
        <f>RANK(AI45,AI$3:AI$51)</f>
        <v/>
      </c>
      <c r="AK45" s="48" t="n">
        <v>32.64</v>
      </c>
      <c r="AL45" s="32">
        <f>AK45/$H45-1</f>
        <v/>
      </c>
      <c r="AM45" s="33">
        <f>RANK(AL45,AL$3:AL$51)</f>
        <v/>
      </c>
      <c r="AN45" s="33">
        <f>1/(60+AF45)+1/(60+AJ45)+1/(60+AM45)</f>
        <v/>
      </c>
      <c r="AO45" s="33">
        <f>RANK(AN45,AN$3:AN$51)</f>
        <v/>
      </c>
      <c r="AP45" s="33">
        <f>(49-AF45)+(49-AJ45)+(49-AM45)</f>
        <v/>
      </c>
      <c r="AQ45" s="33">
        <f>RANK(AP45,AP$3:AP$51)</f>
        <v/>
      </c>
      <c r="AR45" s="33">
        <f>SUMPRODUCT(--(((AF45&lt;$AF$3:$AF$51)+(AJ45&lt;$AJ$3:$AJ$51)+(AM45&lt;$AM$3:$AM$51))&gt;=2))
-SUMPRODUCT(--(((AF45&gt;$AF$3:$AF$51)+(AJ45&gt;$AJ$3:$AJ$51)+(AM45&gt;$AM$3:$AM$51))&gt;=2))</f>
        <v/>
      </c>
      <c r="AS45" s="33">
        <f>RANK(AR45,AR$3:AR$51)</f>
        <v/>
      </c>
      <c r="AT45" s="37" t="n">
        <v>43</v>
      </c>
      <c r="AU45" s="33" t="n">
        <v>3.892162722115116e-09</v>
      </c>
    </row>
    <row r="46" ht="15.75" customHeight="1" s="45">
      <c r="A46" s="28" t="inlineStr">
        <is>
          <t>CRDO</t>
        </is>
      </c>
      <c r="B46" s="28" t="inlineStr">
        <is>
          <t>Credo Technology Group Holding Ltd</t>
        </is>
      </c>
      <c r="C46" s="28" t="inlineStr">
        <is>
          <t>Technology</t>
        </is>
      </c>
      <c r="D46" s="28" t="inlineStr">
        <is>
          <t>Semiconductors</t>
        </is>
      </c>
      <c r="E46" s="28" t="inlineStr">
        <is>
          <t>Cayman Islands</t>
        </is>
      </c>
      <c r="F46" s="28" t="inlineStr">
        <is>
          <t>49.60B</t>
        </is>
      </c>
      <c r="G46" s="28" t="inlineStr">
        <is>
          <t>107,26</t>
        </is>
      </c>
      <c r="H46" s="28" t="n">
        <v>265.99</v>
      </c>
      <c r="I46" s="28" t="inlineStr">
        <is>
          <t>-0,81%</t>
        </is>
      </c>
      <c r="J46" s="26" t="n">
        <v>4294783</v>
      </c>
      <c r="K46" s="28" t="n">
        <v>0.01</v>
      </c>
      <c r="L46" s="4" t="n">
        <v>0</v>
      </c>
      <c r="M46" s="28" t="inlineStr">
        <is>
          <t>N/A</t>
        </is>
      </c>
      <c r="N46" s="4" t="n">
        <v>0</v>
      </c>
      <c r="O46" s="4" t="n">
        <v>0</v>
      </c>
      <c r="P46" s="28" t="n">
        <v>47.4</v>
      </c>
      <c r="Q46" s="28" t="inlineStr">
        <is>
          <t>-</t>
        </is>
      </c>
      <c r="R46" s="39" t="n">
        <v>3.23</v>
      </c>
      <c r="U46" s="39" t="n">
        <v>3.23</v>
      </c>
      <c r="V46" s="28" t="n">
        <v>10</v>
      </c>
      <c r="W46" s="29" t="n">
        <v>2.51</v>
      </c>
      <c r="X46" s="29" t="n">
        <v>107.26</v>
      </c>
      <c r="Y46" s="28" t="n">
        <v>4.63</v>
      </c>
      <c r="Z46" s="4">
        <f>VLOOKUP(C46,$C$53:$D$61,2,0)</f>
        <v/>
      </c>
      <c r="AA46" s="28">
        <f>Y46+U46*(V46-Y46)</f>
        <v/>
      </c>
      <c r="AB46" s="28">
        <f>1/((AA46-Z46)/100)</f>
        <v/>
      </c>
      <c r="AC46" s="32">
        <f>(AB46/X46)^(1/AD46)-1</f>
        <v/>
      </c>
      <c r="AD46" s="4" t="n">
        <v>7</v>
      </c>
      <c r="AE46" s="32">
        <f>N46/100+P46/100+O46/100+AC46</f>
        <v/>
      </c>
      <c r="AF46" s="33">
        <f>RANK(AE46,AE$3:AE$51)</f>
        <v/>
      </c>
      <c r="AG46" s="28">
        <f>1.16+Y46</f>
        <v/>
      </c>
      <c r="AH46" s="47">
        <f>W46*(8.5+2*P46)*4.4/AG46</f>
        <v/>
      </c>
      <c r="AI46" s="32">
        <f>AH46/$H46-1</f>
        <v/>
      </c>
      <c r="AJ46" s="33">
        <f>RANK(AI46,AI$3:AI$51)</f>
        <v/>
      </c>
      <c r="AK46" s="49" t="n">
        <v>222.96</v>
      </c>
      <c r="AL46" s="32">
        <f>AK46/$H46-1</f>
        <v/>
      </c>
      <c r="AM46" s="33">
        <f>RANK(AL46,AL$3:AL$51)</f>
        <v/>
      </c>
      <c r="AN46" s="33">
        <f>1/(60+AF46)+1/(60+AJ46)+1/(60+AM46)</f>
        <v/>
      </c>
      <c r="AO46" s="33">
        <f>RANK(AN46,AN$3:AN$51)</f>
        <v/>
      </c>
      <c r="AP46" s="33">
        <f>(49-AF46)+(49-AJ46)+(49-AM46)</f>
        <v/>
      </c>
      <c r="AQ46" s="33">
        <f>RANK(AP46,AP$3:AP$51)</f>
        <v/>
      </c>
      <c r="AR46" s="33">
        <f>SUMPRODUCT(--(((AF46&lt;$AF$3:$AF$51)+(AJ46&lt;$AJ$3:$AJ$51)+(AM46&lt;$AM$3:$AM$51))&gt;=2))
-SUMPRODUCT(--(((AF46&gt;$AF$3:$AF$51)+(AJ46&gt;$AJ$3:$AJ$51)+(AM46&gt;$AM$3:$AM$51))&gt;=2))</f>
        <v/>
      </c>
      <c r="AS46" s="33">
        <f>RANK(AR46,AR$3:AR$51)</f>
        <v/>
      </c>
      <c r="AT46" s="37" t="n">
        <v>44</v>
      </c>
      <c r="AU46" s="33" t="n">
        <v>7.00045260480567e-10</v>
      </c>
    </row>
    <row r="47" ht="15.75" customHeight="1" s="45">
      <c r="A47" s="28" t="inlineStr">
        <is>
          <t>KLAC</t>
        </is>
      </c>
      <c r="B47" s="28" t="inlineStr">
        <is>
          <t>KLA Corp</t>
        </is>
      </c>
      <c r="C47" s="28" t="inlineStr">
        <is>
          <t>Technology</t>
        </is>
      </c>
      <c r="D47" s="28" t="inlineStr">
        <is>
          <t>Semiconductor Equipment &amp; Materials</t>
        </is>
      </c>
      <c r="E47" s="28" t="inlineStr">
        <is>
          <t>USA</t>
        </is>
      </c>
      <c r="F47" s="28" t="inlineStr">
        <is>
          <t>273.55B</t>
        </is>
      </c>
      <c r="G47" s="28" t="n">
        <v>57.08</v>
      </c>
      <c r="H47" s="28" t="n">
        <v>209.37</v>
      </c>
      <c r="I47" s="28" t="n">
        <v>54</v>
      </c>
      <c r="J47" s="28" t="inlineStr">
        <is>
          <t>8.540.538</t>
        </is>
      </c>
      <c r="K47" s="28" t="n">
        <v>0.97</v>
      </c>
      <c r="L47" s="28" t="n">
        <v>20.09</v>
      </c>
      <c r="M47" s="28" t="inlineStr">
        <is>
          <t>N/A</t>
        </is>
      </c>
      <c r="N47" s="28" t="n">
        <v>0.39</v>
      </c>
      <c r="O47" s="28" t="n">
        <v>0.8</v>
      </c>
      <c r="P47" s="28" t="n">
        <v>23.35</v>
      </c>
      <c r="Q47" s="28" t="inlineStr">
        <is>
          <t>10 años</t>
        </is>
      </c>
      <c r="R47" s="29" t="n">
        <v>1.45</v>
      </c>
      <c r="U47" s="28">
        <f>IF(E47="USA",R47,"completar")</f>
        <v/>
      </c>
      <c r="V47" s="28" t="n">
        <v>10</v>
      </c>
      <c r="W47" s="29" t="n">
        <v>3.66</v>
      </c>
      <c r="X47" s="29" t="n">
        <v>57.08</v>
      </c>
      <c r="Y47" s="28" t="n">
        <v>4.63</v>
      </c>
      <c r="Z47" s="4">
        <f>VLOOKUP(C47,$C$53:$D$61,2,0)</f>
        <v/>
      </c>
      <c r="AA47" s="28">
        <f>Y47+U47*(V47-Y47)</f>
        <v/>
      </c>
      <c r="AB47" s="28">
        <f>1/((AA47-Z47)/100)</f>
        <v/>
      </c>
      <c r="AC47" s="32">
        <f>(AB47/X47)^(1/AD47)-1</f>
        <v/>
      </c>
      <c r="AD47" s="4" t="n">
        <v>7</v>
      </c>
      <c r="AE47" s="32">
        <f>N47/100+P47/100+O47/100+AC47</f>
        <v/>
      </c>
      <c r="AF47" s="33">
        <f>RANK(AE47,AE$3:AE$51)</f>
        <v/>
      </c>
      <c r="AG47" s="28">
        <f>1.16+Y47</f>
        <v/>
      </c>
      <c r="AH47" s="47">
        <f>W47*(8.5+2*P47)*4.4/AG47</f>
        <v/>
      </c>
      <c r="AI47" s="32">
        <f>AH47/$H47-1</f>
        <v/>
      </c>
      <c r="AJ47" s="33">
        <f>RANK(AI47,AI$3:AI$51)</f>
        <v/>
      </c>
      <c r="AK47" s="48" t="n">
        <v>175</v>
      </c>
      <c r="AL47" s="32">
        <f>AK47/$H47-1</f>
        <v/>
      </c>
      <c r="AM47" s="33">
        <f>RANK(AL47,AL$3:AL$51)</f>
        <v/>
      </c>
      <c r="AN47" s="33">
        <f>1/(60+AF47)+1/(60+AJ47)+1/(60+AM47)</f>
        <v/>
      </c>
      <c r="AO47" s="33">
        <f>RANK(AN47,AN$3:AN$51)</f>
        <v/>
      </c>
      <c r="AP47" s="33">
        <f>(49-AF47)+(49-AJ47)+(49-AM47)</f>
        <v/>
      </c>
      <c r="AQ47" s="33">
        <f>RANK(AP47,AP$3:AP$51)</f>
        <v/>
      </c>
      <c r="AR47" s="33">
        <f>SUMPRODUCT(--(((AF47&lt;$AF$3:$AF$51)+(AJ47&lt;$AJ$3:$AJ$51)+(AM47&lt;$AM$3:$AM$51))&gt;=2))
-SUMPRODUCT(--(((AF47&gt;$AF$3:$AF$51)+(AJ47&gt;$AJ$3:$AJ$51)+(AM47&gt;$AM$3:$AM$51))&gt;=2))</f>
        <v/>
      </c>
      <c r="AS47" s="33">
        <f>RANK(AR47,AR$3:AR$51)</f>
        <v/>
      </c>
      <c r="AT47" s="33" t="n">
        <v>45</v>
      </c>
      <c r="AU47" s="33" t="n">
        <v>1.282903889291523e-09</v>
      </c>
    </row>
    <row r="48" ht="15.75" customHeight="1" s="45">
      <c r="A48" s="28" t="inlineStr">
        <is>
          <t>MU</t>
        </is>
      </c>
      <c r="B48" s="28" t="inlineStr">
        <is>
          <t>Micron Technology Inc</t>
        </is>
      </c>
      <c r="C48" s="28" t="inlineStr">
        <is>
          <t>Technology</t>
        </is>
      </c>
      <c r="D48" s="28" t="inlineStr">
        <is>
          <t>Semiconductors</t>
        </is>
      </c>
      <c r="E48" s="28" t="inlineStr">
        <is>
          <t>USA</t>
        </is>
      </c>
      <c r="F48" s="28" t="inlineStr">
        <is>
          <t>1072.73B</t>
        </is>
      </c>
      <c r="G48" s="28" t="n">
        <v>21.5</v>
      </c>
      <c r="H48" s="28" t="n">
        <v>949.83</v>
      </c>
      <c r="I48" s="28" t="n">
        <v>423</v>
      </c>
      <c r="J48" s="28" t="inlineStr">
        <is>
          <t>36.604.357</t>
        </is>
      </c>
      <c r="K48" s="28" t="n">
        <v>0.28</v>
      </c>
      <c r="L48" s="28" t="n">
        <v>254.95</v>
      </c>
      <c r="M48" s="28" t="inlineStr">
        <is>
          <t>N/A</t>
        </is>
      </c>
      <c r="N48" s="28" t="n">
        <v>0.05</v>
      </c>
      <c r="O48" s="28" t="n">
        <v>0</v>
      </c>
      <c r="P48" s="28" t="n">
        <v>11.88</v>
      </c>
      <c r="Q48" s="28" t="inlineStr">
        <is>
          <t>10 años (agosto 2025)</t>
        </is>
      </c>
      <c r="R48" s="29" t="n">
        <v>2.16</v>
      </c>
      <c r="U48" s="28">
        <f>IF(E48="USA",R48,"completar")</f>
        <v/>
      </c>
      <c r="V48" s="28" t="n">
        <v>10</v>
      </c>
      <c r="W48" s="29" t="n">
        <v>7.59</v>
      </c>
      <c r="X48" s="29" t="n">
        <v>21.5</v>
      </c>
      <c r="Y48" s="28" t="n">
        <v>4.63</v>
      </c>
      <c r="Z48" s="4">
        <f>VLOOKUP(C48,$C$53:$D$61,2,0)</f>
        <v/>
      </c>
      <c r="AA48" s="28">
        <f>Y48+U48*(V48-Y48)</f>
        <v/>
      </c>
      <c r="AB48" s="28">
        <f>1/((AA48-Z48)/100)</f>
        <v/>
      </c>
      <c r="AC48" s="32">
        <f>(AB48/X48)^(1/AD48)-1</f>
        <v/>
      </c>
      <c r="AD48" s="4" t="n">
        <v>7</v>
      </c>
      <c r="AE48" s="32">
        <f>N48/100+P48/100+O48/100+AC48</f>
        <v/>
      </c>
      <c r="AF48" s="33">
        <f>RANK(AE48,AE$3:AE$51)</f>
        <v/>
      </c>
      <c r="AG48" s="28">
        <f>1.16+Y48</f>
        <v/>
      </c>
      <c r="AH48" s="47">
        <f>W48*(8.5+2*P48)*4.4/AG48</f>
        <v/>
      </c>
      <c r="AI48" s="32">
        <f>AH48/$H48-1</f>
        <v/>
      </c>
      <c r="AJ48" s="33">
        <f>RANK(AI48,AI$3:AI$51)</f>
        <v/>
      </c>
      <c r="AK48" s="50" t="n">
        <v>850</v>
      </c>
      <c r="AL48" s="32">
        <f>AK48/$H48-1</f>
        <v/>
      </c>
      <c r="AM48" s="33">
        <f>RANK(AL48,AL$3:AL$51)</f>
        <v/>
      </c>
      <c r="AN48" s="33">
        <f>1/(60+AF48)+1/(60+AJ48)+1/(60+AM48)</f>
        <v/>
      </c>
      <c r="AO48" s="33">
        <f>RANK(AN48,AN$3:AN$51)</f>
        <v/>
      </c>
      <c r="AP48" s="33">
        <f>(49-AF48)+(49-AJ48)+(49-AM48)</f>
        <v/>
      </c>
      <c r="AQ48" s="33">
        <f>RANK(AP48,AP$3:AP$51)</f>
        <v/>
      </c>
      <c r="AR48" s="33">
        <f>SUMPRODUCT(--(((AF48&lt;$AF$3:$AF$51)+(AJ48&lt;$AJ$3:$AJ$51)+(AM48&lt;$AM$3:$AM$51))&gt;=2))
-SUMPRODUCT(--(((AF48&gt;$AF$3:$AF$51)+(AJ48&gt;$AJ$3:$AJ$51)+(AM48&gt;$AM$3:$AM$51))&gt;=2))</f>
        <v/>
      </c>
      <c r="AS48" s="33">
        <f>RANK(AR48,AR$3:AR$51)</f>
        <v/>
      </c>
      <c r="AT48" s="33" t="n">
        <v>46</v>
      </c>
      <c r="AU48" s="33" t="n">
        <v>9.498768973483483e-10</v>
      </c>
    </row>
    <row r="49" ht="15.75" customHeight="1" s="45">
      <c r="A49" s="28" t="inlineStr">
        <is>
          <t>TER</t>
        </is>
      </c>
      <c r="B49" s="28" t="inlineStr">
        <is>
          <t>Teradyne Inc</t>
        </is>
      </c>
      <c r="C49" s="28" t="inlineStr">
        <is>
          <t>Technology</t>
        </is>
      </c>
      <c r="D49" s="28" t="inlineStr">
        <is>
          <t>Semiconductor Equipment &amp; Materials</t>
        </is>
      </c>
      <c r="E49" s="28" t="inlineStr">
        <is>
          <t>USA</t>
        </is>
      </c>
      <c r="F49" s="28" t="inlineStr">
        <is>
          <t>64.18B</t>
        </is>
      </c>
      <c r="G49" s="28" t="n">
        <v>56.32</v>
      </c>
      <c r="H49" s="28" t="n">
        <v>410.52</v>
      </c>
      <c r="I49" s="28" t="n">
        <v>0.0193</v>
      </c>
      <c r="J49" s="28" t="inlineStr">
        <is>
          <t>1,879,469</t>
        </is>
      </c>
      <c r="K49" s="28" t="n">
        <v>0.03</v>
      </c>
      <c r="L49" s="28" t="n">
        <v>118.52</v>
      </c>
      <c r="M49" s="28" t="inlineStr">
        <is>
          <t>N/A</t>
        </is>
      </c>
      <c r="N49" s="28" t="n">
        <v>0.33</v>
      </c>
      <c r="O49" s="28" t="n">
        <v>1.73</v>
      </c>
      <c r="P49" s="28" t="n">
        <v>6.22</v>
      </c>
      <c r="Q49" s="28" t="inlineStr">
        <is>
          <t>L5Y</t>
        </is>
      </c>
      <c r="R49" s="28" t="n">
        <v>1.77</v>
      </c>
      <c r="S49" s="28" t="inlineStr">
        <is>
          <t>Morningstar US Market TR USD</t>
        </is>
      </c>
      <c r="T49" s="28" t="n">
        <v>15.17</v>
      </c>
      <c r="U49" s="28" t="n">
        <v>1.79</v>
      </c>
      <c r="V49" s="28" t="n">
        <v>10</v>
      </c>
      <c r="W49" s="28" t="n">
        <v>7.29</v>
      </c>
      <c r="X49" s="28" t="n">
        <v>57.53</v>
      </c>
      <c r="Y49" s="28" t="n">
        <v>4.63</v>
      </c>
      <c r="Z49" s="4">
        <f>VLOOKUP(C49,$C$53:$D$61,2,0)</f>
        <v/>
      </c>
      <c r="AA49" s="28">
        <f>Y49+U49*(V49-Y49)</f>
        <v/>
      </c>
      <c r="AB49" s="28">
        <f>1/((AA49-Z49)/100)</f>
        <v/>
      </c>
      <c r="AC49" s="32">
        <f>(AB49/X49)^(1/AD49)-1</f>
        <v/>
      </c>
      <c r="AD49" s="4" t="n">
        <v>7</v>
      </c>
      <c r="AE49" s="32">
        <f>N49/100+P49/100+O49/100+AC49</f>
        <v/>
      </c>
      <c r="AF49" s="33">
        <f>RANK(AE49,AE$3:AE$51)</f>
        <v/>
      </c>
      <c r="AG49" s="28">
        <f>1.16+Y49</f>
        <v/>
      </c>
      <c r="AH49" s="47">
        <f>W49*(8.5+2*P49)*4.4/AG49</f>
        <v/>
      </c>
      <c r="AI49" s="32">
        <f>AH49/$H49-1</f>
        <v/>
      </c>
      <c r="AJ49" s="33">
        <f>RANK(AI49,AI$3:AI$51)</f>
        <v/>
      </c>
      <c r="AK49" s="49" t="n">
        <v>350</v>
      </c>
      <c r="AL49" s="32">
        <f>AK49/$H49-1</f>
        <v/>
      </c>
      <c r="AM49" s="33">
        <f>RANK(AL49,AL$3:AL$51)</f>
        <v/>
      </c>
      <c r="AN49" s="33">
        <f>1/(60+AF49)+1/(60+AJ49)+1/(60+AM49)</f>
        <v/>
      </c>
      <c r="AO49" s="33">
        <f>RANK(AN49,AN$3:AN$51)</f>
        <v/>
      </c>
      <c r="AP49" s="33">
        <f>(49-AF49)+(49-AJ49)+(49-AM49)</f>
        <v/>
      </c>
      <c r="AQ49" s="33">
        <f>RANK(AP49,AP$3:AP$51)</f>
        <v/>
      </c>
      <c r="AR49" s="33">
        <f>SUMPRODUCT(--(((AF49&lt;$AF$3:$AF$51)+(AJ49&lt;$AJ$3:$AJ$51)+(AM49&lt;$AM$3:$AM$51))&gt;=2))
-SUMPRODUCT(--(((AF49&gt;$AF$3:$AF$51)+(AJ49&gt;$AJ$3:$AJ$51)+(AM49&gt;$AM$3:$AM$51))&gt;=2))</f>
        <v/>
      </c>
      <c r="AS49" s="33">
        <f>RANK(AR49,AR$3:AR$51)</f>
        <v/>
      </c>
      <c r="AT49" s="33" t="n">
        <v>47</v>
      </c>
      <c r="AU49" s="33" t="n">
        <v>1.267892045104904e-09</v>
      </c>
    </row>
    <row r="50" ht="15.75" customHeight="1" s="45">
      <c r="A50" s="28" t="inlineStr">
        <is>
          <t>AGX</t>
        </is>
      </c>
      <c r="B50" s="28" t="inlineStr">
        <is>
          <t>Argan Inc</t>
        </is>
      </c>
      <c r="C50" s="28" t="inlineStr">
        <is>
          <t>Industrials</t>
        </is>
      </c>
      <c r="D50" s="28" t="inlineStr">
        <is>
          <t>Engineering &amp; Construction</t>
        </is>
      </c>
      <c r="E50" s="28" t="inlineStr">
        <is>
          <t>USA</t>
        </is>
      </c>
      <c r="F50" s="28" t="inlineStr">
        <is>
          <t>7.84B</t>
        </is>
      </c>
      <c r="G50" s="28" t="inlineStr">
        <is>
          <t>49,1</t>
        </is>
      </c>
      <c r="H50" s="28" t="n">
        <v>558.89</v>
      </c>
      <c r="I50" s="28" t="inlineStr">
        <is>
          <t>-2,31%</t>
        </is>
      </c>
      <c r="J50" s="26" t="n">
        <v>285199</v>
      </c>
      <c r="K50" s="28" t="n">
        <v>0.02</v>
      </c>
      <c r="L50" s="4" t="n">
        <v>0</v>
      </c>
      <c r="M50" s="28" t="inlineStr">
        <is>
          <t>N/A</t>
        </is>
      </c>
      <c r="N50" s="28" t="n">
        <v>0.35</v>
      </c>
      <c r="O50" s="28" t="n">
        <v>0.08</v>
      </c>
      <c r="P50" s="28" t="n">
        <v>14.87</v>
      </c>
      <c r="Q50" s="28" t="inlineStr">
        <is>
          <t>(promedio en 10 años)</t>
        </is>
      </c>
      <c r="R50" s="39" t="n">
        <v>0.65</v>
      </c>
      <c r="U50" s="41">
        <f>IF(E50="USA",R50,"completar")</f>
        <v/>
      </c>
      <c r="V50" s="28" t="n">
        <v>10</v>
      </c>
      <c r="W50" s="29" t="n">
        <v>11.38</v>
      </c>
      <c r="X50" s="29" t="n">
        <v>49.1</v>
      </c>
      <c r="Y50" s="28" t="n">
        <v>4.63</v>
      </c>
      <c r="Z50" s="4">
        <f>VLOOKUP(C50,$C$53:$D$61,2,0)</f>
        <v/>
      </c>
      <c r="AA50" s="28">
        <f>Y50+U50*(V50-Y50)</f>
        <v/>
      </c>
      <c r="AB50" s="28">
        <f>1/((AA50-Z50)/100)</f>
        <v/>
      </c>
      <c r="AC50" s="32">
        <f>(AB50/X50)^(1/AD50)-1</f>
        <v/>
      </c>
      <c r="AD50" s="4" t="n">
        <v>7</v>
      </c>
      <c r="AE50" s="32">
        <f>N50/100+P50/100+O50/100+AC50</f>
        <v/>
      </c>
      <c r="AF50" s="33">
        <f>RANK(AE50,AE$3:AE$51)</f>
        <v/>
      </c>
      <c r="AG50" s="28">
        <f>1.16+Y50</f>
        <v/>
      </c>
      <c r="AH50" s="47">
        <f>W50*(8.5+2*P50)*4.4/AG50</f>
        <v/>
      </c>
      <c r="AI50" s="32">
        <f>AH50/$H50-1</f>
        <v/>
      </c>
      <c r="AJ50" s="33">
        <f>RANK(AI50,AI$3:AI$51)</f>
        <v/>
      </c>
      <c r="AK50" s="49" t="n">
        <v>432.54</v>
      </c>
      <c r="AL50" s="32">
        <f>AK50/$H50-1</f>
        <v/>
      </c>
      <c r="AM50" s="33">
        <f>RANK(AL50,AL$3:AL$51)</f>
        <v/>
      </c>
      <c r="AN50" s="33">
        <f>1/(60+AF50)+1/(60+AJ50)+1/(60+AM50)</f>
        <v/>
      </c>
      <c r="AO50" s="33">
        <f>RANK(AN50,AN$3:AN$51)</f>
        <v/>
      </c>
      <c r="AP50" s="33">
        <f>(49-AF50)+(49-AJ50)+(49-AM50)</f>
        <v/>
      </c>
      <c r="AQ50" s="33">
        <f>RANK(AP50,AP$3:AP$51)</f>
        <v/>
      </c>
      <c r="AR50" s="33">
        <f>SUMPRODUCT(--(((AF50&lt;$AF$3:$AF$51)+(AJ50&lt;$AJ$3:$AJ$51)+(AM50&lt;$AM$3:$AM$51))&gt;=2))
-SUMPRODUCT(--(((AF50&gt;$AF$3:$AF$51)+(AJ50&gt;$AJ$3:$AJ$51)+(AM50&gt;$AM$3:$AM$51))&gt;=2))</f>
        <v/>
      </c>
      <c r="AS50" s="33">
        <f>RANK(AR50,AR$3:AR$51)</f>
        <v/>
      </c>
      <c r="AT50" s="33" t="n">
        <v>48</v>
      </c>
      <c r="AU50" s="33" t="n">
        <v>1.23382031562941e-09</v>
      </c>
    </row>
    <row r="51" ht="15.75" customHeight="1" s="45">
      <c r="A51" s="28" t="inlineStr">
        <is>
          <t>SII</t>
        </is>
      </c>
      <c r="B51" s="28" t="inlineStr">
        <is>
          <t>Sprott Inc</t>
        </is>
      </c>
      <c r="C51" s="28" t="inlineStr">
        <is>
          <t>Financial</t>
        </is>
      </c>
      <c r="D51" s="28" t="inlineStr">
        <is>
          <t>Asset Management</t>
        </is>
      </c>
      <c r="E51" s="28" t="inlineStr">
        <is>
          <t>Canada</t>
        </is>
      </c>
      <c r="F51" s="28" t="inlineStr">
        <is>
          <t>3.03B</t>
        </is>
      </c>
      <c r="G51" s="28" t="n">
        <v>28.79</v>
      </c>
      <c r="H51" s="28" t="n">
        <v>117.6</v>
      </c>
      <c r="I51" s="28" t="n">
        <v>-0.0012</v>
      </c>
      <c r="J51" s="28" t="inlineStr">
        <is>
          <t>153,965</t>
        </is>
      </c>
      <c r="K51" s="28" t="n">
        <v>0</v>
      </c>
      <c r="L51" s="28" t="n">
        <v>116.32</v>
      </c>
      <c r="M51" s="28" t="inlineStr">
        <is>
          <t>N/A</t>
        </is>
      </c>
      <c r="N51" s="28" t="n">
        <v>2.08</v>
      </c>
      <c r="O51" s="28" t="n">
        <v>0.11</v>
      </c>
      <c r="P51" s="28" t="n">
        <v>9.380000000000001</v>
      </c>
      <c r="Q51" s="28" t="inlineStr">
        <is>
          <t>L10Y</t>
        </is>
      </c>
      <c r="R51" s="28" t="n">
        <v>0.84</v>
      </c>
      <c r="S51" s="28" t="inlineStr">
        <is>
          <t>Morningstar Canada GR CAD</t>
        </is>
      </c>
      <c r="T51" s="28" t="n">
        <v>10.78</v>
      </c>
      <c r="U51" s="28" t="n">
        <v>1.35</v>
      </c>
      <c r="V51" s="28" t="n">
        <v>10</v>
      </c>
      <c r="W51" s="28" t="n">
        <v>4.08</v>
      </c>
      <c r="X51" s="28" t="n">
        <v>28.62</v>
      </c>
      <c r="Y51" s="28" t="n">
        <v>4.63</v>
      </c>
      <c r="Z51" s="4">
        <f>VLOOKUP(C51,$C$53:$D$61,2,0)</f>
        <v/>
      </c>
      <c r="AA51" s="28">
        <f>Y51+U51*(V51-Y51)</f>
        <v/>
      </c>
      <c r="AB51" s="28">
        <f>1/((AA51-Z51)/100)</f>
        <v/>
      </c>
      <c r="AC51" s="32">
        <f>(AB51/X51)^(1/AD51)-1</f>
        <v/>
      </c>
      <c r="AD51" s="4" t="n">
        <v>7</v>
      </c>
      <c r="AE51" s="32">
        <f>N51/100+P51/100+O51/100+AC51</f>
        <v/>
      </c>
      <c r="AF51" s="33">
        <f>RANK(AE51,AE$3:AE$51)</f>
        <v/>
      </c>
      <c r="AG51" s="28">
        <f>1.16+Y51</f>
        <v/>
      </c>
      <c r="AH51" s="47">
        <f>W51*(8.5+2*P51)*4.4/AG51</f>
        <v/>
      </c>
      <c r="AI51" s="32">
        <f>AH51/$H51-1</f>
        <v/>
      </c>
      <c r="AJ51" s="33">
        <f>RANK(AI51,AI$3:AI$51)</f>
        <v/>
      </c>
      <c r="AK51" s="49" t="n">
        <v>65.59</v>
      </c>
      <c r="AL51" s="32">
        <f>AK51/$H51-1</f>
        <v/>
      </c>
      <c r="AM51" s="33">
        <f>RANK(AL51,AL$3:AL$51)</f>
        <v/>
      </c>
      <c r="AN51" s="33">
        <f>1/(60+AF51)+1/(60+AJ51)+1/(60+AM51)</f>
        <v/>
      </c>
      <c r="AO51" s="33">
        <f>RANK(AN51,AN$3:AN$51)</f>
        <v/>
      </c>
      <c r="AP51" s="33">
        <f>(49-AF51)+(49-AJ51)+(49-AM51)</f>
        <v/>
      </c>
      <c r="AQ51" s="33">
        <f>RANK(AP51,AP$3:AP$51)</f>
        <v/>
      </c>
      <c r="AR51" s="33">
        <f>SUMPRODUCT(--(((AF51&lt;$AF$3:$AF$51)+(AJ51&lt;$AJ$3:$AJ$51)+(AM51&lt;$AM$3:$AM$51))&gt;=2))
-SUMPRODUCT(--(((AF51&gt;$AF$3:$AF$51)+(AJ51&gt;$AJ$3:$AJ$51)+(AM51&gt;$AM$3:$AM$51))&gt;=2))</f>
        <v/>
      </c>
      <c r="AS51" s="33">
        <f>RANK(AR51,AR$3:AR$51)</f>
        <v/>
      </c>
      <c r="AT51" s="33" t="n">
        <v>49</v>
      </c>
      <c r="AU51" s="33" t="n">
        <v>1.537398579776374e-09</v>
      </c>
    </row>
    <row r="52" ht="15.75" customHeight="1" s="45">
      <c r="J52" s="26" t="n"/>
      <c r="R52" s="29" t="n"/>
      <c r="W52" s="29" t="n"/>
      <c r="X52" s="29" t="n"/>
      <c r="Z52" s="4" t="n"/>
      <c r="AC52" s="32" t="n"/>
      <c r="AE52" s="32" t="n"/>
      <c r="AF52" s="32" t="n"/>
      <c r="AH52" s="47" t="n"/>
      <c r="AI52" s="47" t="n"/>
      <c r="AJ52" s="47" t="n"/>
      <c r="AK52" s="47" t="n"/>
      <c r="AL52" s="47" t="n"/>
      <c r="AM52" s="47" t="n"/>
      <c r="AN52" s="47" t="n"/>
      <c r="AO52" s="47" t="n"/>
      <c r="AP52" s="47" t="n"/>
      <c r="AQ52" s="47" t="n"/>
      <c r="AR52" s="47" t="n"/>
      <c r="AS52" s="47" t="n"/>
      <c r="AT52" s="47" t="n"/>
      <c r="AU52" s="47" t="n"/>
    </row>
    <row r="53" ht="15.75" customHeight="1" s="45">
      <c r="C53" s="28" t="inlineStr">
        <is>
          <t>Communication Services</t>
        </is>
      </c>
      <c r="D53" s="4" t="n">
        <v>5</v>
      </c>
    </row>
    <row r="54" ht="15.75" customHeight="1" s="45">
      <c r="C54" s="28" t="inlineStr">
        <is>
          <t>Technology</t>
        </is>
      </c>
      <c r="D54" s="4" t="n">
        <v>7</v>
      </c>
    </row>
    <row r="55" ht="15.75" customHeight="1" s="45">
      <c r="C55" s="28" t="inlineStr">
        <is>
          <t>Financial</t>
        </is>
      </c>
      <c r="D55" s="4" t="n">
        <v>4</v>
      </c>
    </row>
    <row r="56" ht="15.75" customHeight="1" s="45">
      <c r="C56" s="28" t="inlineStr">
        <is>
          <t>Healthcare</t>
        </is>
      </c>
      <c r="D56" s="4" t="n">
        <v>5</v>
      </c>
    </row>
    <row r="57" ht="15.75" customHeight="1" s="45">
      <c r="C57" s="28" t="inlineStr">
        <is>
          <t>Basic Materials</t>
        </is>
      </c>
      <c r="D57" s="4" t="n">
        <v>4</v>
      </c>
    </row>
    <row r="58" ht="15.75" customHeight="1" s="45">
      <c r="C58" s="28" t="inlineStr">
        <is>
          <t>Industrials</t>
        </is>
      </c>
      <c r="D58" s="4" t="n">
        <v>4</v>
      </c>
    </row>
    <row r="59" ht="15.75" customHeight="1" s="45">
      <c r="C59" s="28" t="inlineStr">
        <is>
          <t>Energy</t>
        </is>
      </c>
      <c r="D59" s="4" t="n">
        <v>3</v>
      </c>
    </row>
    <row r="60" ht="15.75" customHeight="1" s="45">
      <c r="C60" s="28" t="inlineStr">
        <is>
          <t>Consumer Defensive</t>
        </is>
      </c>
      <c r="D60" s="4" t="n">
        <v>4</v>
      </c>
    </row>
    <row r="61" ht="15.75" customHeight="1" s="45">
      <c r="C61" s="28" t="inlineStr">
        <is>
          <t>Consumer Cyclical</t>
        </is>
      </c>
      <c r="D61" s="4" t="n">
        <v>4</v>
      </c>
    </row>
    <row r="62" ht="15.75" customHeight="1" s="45"/>
    <row r="63" ht="15.75" customHeight="1" s="45"/>
    <row r="64" ht="15.75" customHeight="1" s="45"/>
    <row r="65" ht="15.75" customHeight="1" s="45"/>
    <row r="66" ht="15.75" customHeight="1" s="45"/>
    <row r="67" ht="15.75" customHeight="1" s="45"/>
    <row r="68" ht="15.75" customHeight="1" s="45"/>
    <row r="69" ht="15.75" customHeight="1" s="45"/>
    <row r="70" ht="15.75" customHeight="1" s="45"/>
    <row r="71" ht="15.75" customHeight="1" s="45"/>
    <row r="72" ht="15.75" customHeight="1" s="45"/>
    <row r="73" ht="15.75" customHeight="1" s="45"/>
    <row r="74" ht="15.75" customHeight="1" s="45"/>
    <row r="75" ht="15.75" customHeight="1" s="45"/>
    <row r="76" ht="15.75" customHeight="1" s="45"/>
    <row r="77" ht="15.75" customHeight="1" s="45"/>
    <row r="78" ht="15.75" customHeight="1" s="45"/>
    <row r="79" ht="15.75" customHeight="1" s="45"/>
    <row r="80" ht="15.75" customHeight="1" s="45"/>
    <row r="81" ht="15.75" customHeight="1" s="45"/>
    <row r="82" ht="15.75" customHeight="1" s="45"/>
    <row r="83" ht="15.75" customHeight="1" s="45"/>
    <row r="84" ht="15.75" customHeight="1" s="45"/>
    <row r="85" ht="15.75" customHeight="1" s="45"/>
    <row r="86" ht="15.75" customHeight="1" s="45"/>
    <row r="87" ht="15.75" customHeight="1" s="45"/>
    <row r="88" ht="15.75" customHeight="1" s="45"/>
    <row r="89" ht="15.75" customHeight="1" s="45"/>
    <row r="90" ht="15.75" customHeight="1" s="45"/>
    <row r="91" ht="15.75" customHeight="1" s="45"/>
    <row r="92" ht="15.75" customHeight="1" s="45"/>
    <row r="93" ht="15.75" customHeight="1" s="45"/>
    <row r="94" ht="15.75" customHeight="1" s="45"/>
    <row r="95" ht="15.75" customHeight="1" s="45"/>
    <row r="96" ht="15.75" customHeight="1" s="45"/>
    <row r="97" ht="15.75" customHeight="1" s="45"/>
    <row r="98" ht="15.75" customHeight="1" s="45"/>
    <row r="99" ht="15.75" customHeight="1" s="45"/>
    <row r="100" ht="15.75" customHeight="1" s="45"/>
    <row r="101" ht="15.75" customHeight="1" s="45"/>
    <row r="102" ht="15.75" customHeight="1" s="45"/>
    <row r="103" ht="15.75" customHeight="1" s="45"/>
    <row r="104" ht="15.75" customHeight="1" s="45"/>
    <row r="105" ht="15.75" customHeight="1" s="45"/>
    <row r="106" ht="15.75" customHeight="1" s="45"/>
    <row r="107" ht="15.75" customHeight="1" s="45"/>
    <row r="108" ht="15.75" customHeight="1" s="45"/>
    <row r="109" ht="15.75" customHeight="1" s="45"/>
    <row r="110" ht="15.75" customHeight="1" s="45"/>
    <row r="111" ht="15.75" customHeight="1" s="45"/>
    <row r="112" ht="15.75" customHeight="1" s="45"/>
    <row r="113" ht="15.75" customHeight="1" s="45"/>
    <row r="114" ht="15.75" customHeight="1" s="45"/>
    <row r="115" ht="15.75" customHeight="1" s="45"/>
    <row r="116" ht="15.75" customHeight="1" s="45"/>
    <row r="117" ht="15.75" customHeight="1" s="45"/>
    <row r="118" ht="15.75" customHeight="1" s="45"/>
    <row r="119" ht="15.75" customHeight="1" s="45"/>
    <row r="120" ht="15.75" customHeight="1" s="45"/>
    <row r="121" ht="15.75" customHeight="1" s="45"/>
    <row r="122" ht="15.75" customHeight="1" s="45"/>
    <row r="123" ht="15.75" customHeight="1" s="45"/>
    <row r="124" ht="15.75" customHeight="1" s="45"/>
    <row r="125" ht="15.75" customHeight="1" s="45"/>
    <row r="126" ht="15.75" customHeight="1" s="45"/>
    <row r="127" ht="15.75" customHeight="1" s="45"/>
    <row r="128" ht="15.75" customHeight="1" s="45"/>
    <row r="129" ht="15.75" customHeight="1" s="45"/>
    <row r="130" ht="15.75" customHeight="1" s="45"/>
    <row r="131" ht="15.75" customHeight="1" s="45"/>
    <row r="132" ht="15.75" customHeight="1" s="45"/>
    <row r="133" ht="15.75" customHeight="1" s="45"/>
    <row r="134" ht="15.75" customHeight="1" s="45"/>
    <row r="135" ht="15.75" customHeight="1" s="45"/>
    <row r="136" ht="15.75" customHeight="1" s="45"/>
    <row r="137" ht="15.75" customHeight="1" s="45"/>
    <row r="138" ht="15.75" customHeight="1" s="45"/>
    <row r="139" ht="15.75" customHeight="1" s="45"/>
    <row r="140" ht="15.75" customHeight="1" s="45"/>
    <row r="141" ht="15.75" customHeight="1" s="45"/>
    <row r="142" ht="15.75" customHeight="1" s="45"/>
    <row r="143" ht="15.75" customHeight="1" s="45"/>
    <row r="144" ht="15.75" customHeight="1" s="45"/>
    <row r="145" ht="15.75" customHeight="1" s="45"/>
    <row r="146" ht="15.75" customHeight="1" s="45"/>
    <row r="147" ht="15.75" customHeight="1" s="45"/>
    <row r="148" ht="15.75" customHeight="1" s="45"/>
    <row r="149" ht="15.75" customHeight="1" s="45"/>
    <row r="150" ht="15.75" customHeight="1" s="45"/>
    <row r="151" ht="15.75" customHeight="1" s="45"/>
    <row r="152" ht="15.75" customHeight="1" s="45"/>
    <row r="153" ht="15.75" customHeight="1" s="45"/>
    <row r="154" ht="15.75" customHeight="1" s="45"/>
    <row r="155" ht="15.75" customHeight="1" s="45"/>
    <row r="156" ht="15.75" customHeight="1" s="45"/>
    <row r="157" ht="15.75" customHeight="1" s="45"/>
    <row r="158" ht="15.75" customHeight="1" s="45"/>
    <row r="159" ht="15.75" customHeight="1" s="45"/>
    <row r="160" ht="15.75" customHeight="1" s="45"/>
    <row r="161" ht="15.75" customHeight="1" s="45"/>
    <row r="162" ht="15.75" customHeight="1" s="45"/>
    <row r="163" ht="15.75" customHeight="1" s="45"/>
    <row r="164" ht="15.75" customHeight="1" s="45"/>
    <row r="165" ht="15.75" customHeight="1" s="45"/>
    <row r="166" ht="15.75" customHeight="1" s="45"/>
    <row r="167" ht="15.75" customHeight="1" s="45"/>
    <row r="168" ht="15.75" customHeight="1" s="45"/>
    <row r="169" ht="15.75" customHeight="1" s="45"/>
    <row r="170" ht="15.75" customHeight="1" s="45"/>
    <row r="171" ht="15.75" customHeight="1" s="45"/>
    <row r="172" ht="15.75" customHeight="1" s="45"/>
    <row r="173" ht="15.75" customHeight="1" s="45"/>
    <row r="174" ht="15.75" customHeight="1" s="45"/>
    <row r="175" ht="15.75" customHeight="1" s="45"/>
    <row r="176" ht="15.75" customHeight="1" s="45"/>
    <row r="177" ht="15.75" customHeight="1" s="45"/>
    <row r="178" ht="15.75" customHeight="1" s="45"/>
    <row r="179" ht="15.75" customHeight="1" s="45"/>
    <row r="180" ht="15.75" customHeight="1" s="45"/>
    <row r="181" ht="15.75" customHeight="1" s="45"/>
    <row r="182" ht="15.75" customHeight="1" s="45"/>
    <row r="183" ht="15.75" customHeight="1" s="45"/>
    <row r="184" ht="15.75" customHeight="1" s="45"/>
    <row r="185" ht="15.75" customHeight="1" s="45"/>
    <row r="186" ht="15.75" customHeight="1" s="45"/>
    <row r="187" ht="15.75" customHeight="1" s="45"/>
    <row r="188" ht="15.75" customHeight="1" s="45"/>
    <row r="189" ht="15.75" customHeight="1" s="45"/>
    <row r="190" ht="15.75" customHeight="1" s="45"/>
    <row r="191" ht="15.75" customHeight="1" s="45"/>
    <row r="192" ht="15.75" customHeight="1" s="45"/>
    <row r="193" ht="15.75" customHeight="1" s="45"/>
    <row r="194" ht="15.75" customHeight="1" s="45"/>
    <row r="195" ht="15.75" customHeight="1" s="45"/>
    <row r="196" ht="15.75" customHeight="1" s="45"/>
    <row r="197" ht="15.75" customHeight="1" s="45"/>
    <row r="198" ht="15.75" customHeight="1" s="45"/>
    <row r="199" ht="15.75" customHeight="1" s="45"/>
    <row r="200" ht="15.75" customHeight="1" s="45"/>
    <row r="201" ht="15.75" customHeight="1" s="45"/>
    <row r="202" ht="15.75" customHeight="1" s="45"/>
    <row r="203" ht="15.75" customHeight="1" s="45"/>
    <row r="204" ht="15.75" customHeight="1" s="45"/>
    <row r="205" ht="15.75" customHeight="1" s="45"/>
    <row r="206" ht="15.75" customHeight="1" s="45"/>
    <row r="207" ht="15.75" customHeight="1" s="45"/>
    <row r="208" ht="15.75" customHeight="1" s="45"/>
    <row r="209" ht="15.75" customHeight="1" s="45"/>
    <row r="210" ht="15.75" customHeight="1" s="45"/>
    <row r="211" ht="15.75" customHeight="1" s="45"/>
    <row r="212" ht="15.75" customHeight="1" s="45"/>
    <row r="213" ht="15.75" customHeight="1" s="45"/>
    <row r="214" ht="15.75" customHeight="1" s="45"/>
    <row r="215" ht="15.75" customHeight="1" s="45"/>
    <row r="216" ht="15.75" customHeight="1" s="45"/>
    <row r="217" ht="15.75" customHeight="1" s="45"/>
    <row r="218" ht="15.75" customHeight="1" s="45"/>
    <row r="219" ht="15.75" customHeight="1" s="45"/>
    <row r="220" ht="15.75" customHeight="1" s="45"/>
    <row r="221" ht="15.75" customHeight="1" s="45"/>
    <row r="222" ht="15.75" customHeight="1" s="45"/>
    <row r="223" ht="15.75" customHeight="1" s="45"/>
    <row r="224" ht="15.75" customHeight="1" s="45"/>
    <row r="225" ht="15.75" customHeight="1" s="45"/>
    <row r="226" ht="15.75" customHeight="1" s="45"/>
    <row r="227" ht="15.75" customHeight="1" s="45"/>
    <row r="228" ht="15.75" customHeight="1" s="45"/>
    <row r="229" ht="15.75" customHeight="1" s="45"/>
    <row r="230" ht="15.75" customHeight="1" s="45"/>
    <row r="231" ht="15.75" customHeight="1" s="45"/>
    <row r="232" ht="15.75" customHeight="1" s="45"/>
    <row r="233" ht="15.75" customHeight="1" s="45"/>
    <row r="234" ht="15.75" customHeight="1" s="45"/>
    <row r="235" ht="15.75" customHeight="1" s="45"/>
    <row r="236" ht="15.75" customHeight="1" s="45"/>
    <row r="237" ht="15.75" customHeight="1" s="45"/>
    <row r="238" ht="15.75" customHeight="1" s="45"/>
    <row r="239" ht="15.75" customHeight="1" s="45"/>
    <row r="240" ht="15.75" customHeight="1" s="45"/>
    <row r="241" ht="15.75" customHeight="1" s="45"/>
    <row r="242" ht="15.75" customHeight="1" s="45"/>
    <row r="243" ht="15.75" customHeight="1" s="45"/>
    <row r="244" ht="15.75" customHeight="1" s="45"/>
    <row r="245" ht="15.75" customHeight="1" s="45"/>
    <row r="246" ht="15.75" customHeight="1" s="45"/>
    <row r="247" ht="15.75" customHeight="1" s="45"/>
    <row r="248" ht="15.75" customHeight="1" s="45"/>
    <row r="249" ht="15.75" customHeight="1" s="45"/>
    <row r="250" ht="15.75" customHeight="1" s="45"/>
    <row r="251" ht="15.75" customHeight="1" s="45"/>
    <row r="252" ht="15.75" customHeight="1" s="45"/>
    <row r="253" ht="15.75" customHeight="1" s="45"/>
    <row r="254" ht="15.75" customHeight="1" s="45"/>
    <row r="255" ht="15.75" customHeight="1" s="45"/>
    <row r="256" ht="15.75" customHeight="1" s="45"/>
    <row r="257" ht="15.75" customHeight="1" s="45"/>
    <row r="258" ht="15.75" customHeight="1" s="45"/>
    <row r="259" ht="15.75" customHeight="1" s="45"/>
    <row r="260" ht="15.75" customHeight="1" s="45"/>
    <row r="261" ht="15.75" customHeight="1" s="45"/>
    <row r="262" ht="15.75" customHeight="1" s="45"/>
    <row r="263" ht="15.75" customHeight="1" s="45"/>
    <row r="264" ht="15.75" customHeight="1" s="45"/>
    <row r="265" ht="15.75" customHeight="1" s="45"/>
    <row r="266" ht="15.75" customHeight="1" s="45"/>
    <row r="267" ht="15.75" customHeight="1" s="45"/>
    <row r="268" ht="15.75" customHeight="1" s="45"/>
    <row r="269" ht="15.75" customHeight="1" s="45"/>
    <row r="270" ht="15.75" customHeight="1" s="45"/>
    <row r="271" ht="15.75" customHeight="1" s="45"/>
    <row r="272" ht="15.75" customHeight="1" s="45"/>
    <row r="273" ht="15.75" customHeight="1" s="45"/>
    <row r="274" ht="15.75" customHeight="1" s="45"/>
    <row r="275" ht="15.75" customHeight="1" s="45"/>
    <row r="276" ht="15.75" customHeight="1" s="45"/>
    <row r="277" ht="15.75" customHeight="1" s="45"/>
    <row r="278" ht="15.75" customHeight="1" s="45"/>
    <row r="279" ht="15.75" customHeight="1" s="45"/>
    <row r="280" ht="15.75" customHeight="1" s="45"/>
    <row r="281" ht="15.75" customHeight="1" s="45"/>
    <row r="282" ht="15.75" customHeight="1" s="45"/>
    <row r="283" ht="15.75" customHeight="1" s="45"/>
    <row r="284" ht="15.75" customHeight="1" s="45"/>
    <row r="285" ht="15.75" customHeight="1" s="45"/>
    <row r="286" ht="15.75" customHeight="1" s="45"/>
    <row r="287" ht="15.75" customHeight="1" s="45"/>
    <row r="288" ht="15.75" customHeight="1" s="45"/>
    <row r="289" ht="15.75" customHeight="1" s="45"/>
    <row r="290" ht="15.75" customHeight="1" s="45"/>
    <row r="291" ht="15.75" customHeight="1" s="45"/>
    <row r="292" ht="15.75" customHeight="1" s="45"/>
    <row r="293" ht="15.75" customHeight="1" s="45"/>
    <row r="294" ht="15.75" customHeight="1" s="45"/>
    <row r="295" ht="15.75" customHeight="1" s="45"/>
    <row r="296" ht="15.75" customHeight="1" s="45"/>
    <row r="297" ht="15.75" customHeight="1" s="45"/>
    <row r="298" ht="15.75" customHeight="1" s="45"/>
    <row r="299" ht="15.75" customHeight="1" s="45"/>
    <row r="300" ht="15.75" customHeight="1" s="45"/>
    <row r="301" ht="15.75" customHeight="1" s="45"/>
    <row r="302" ht="15.75" customHeight="1" s="45"/>
    <row r="303" ht="15.75" customHeight="1" s="45"/>
    <row r="304" ht="15.75" customHeight="1" s="45"/>
    <row r="305" ht="15.75" customHeight="1" s="45"/>
    <row r="306" ht="15.75" customHeight="1" s="45"/>
    <row r="307" ht="15.75" customHeight="1" s="45"/>
    <row r="308" ht="15.75" customHeight="1" s="45"/>
    <row r="309" ht="15.75" customHeight="1" s="45"/>
    <row r="310" ht="15.75" customHeight="1" s="45"/>
    <row r="311" ht="15.75" customHeight="1" s="45"/>
    <row r="312" ht="15.75" customHeight="1" s="45"/>
    <row r="313" ht="15.75" customHeight="1" s="45"/>
    <row r="314" ht="15.75" customHeight="1" s="45"/>
    <row r="315" ht="15.75" customHeight="1" s="45"/>
    <row r="316" ht="15.75" customHeight="1" s="45"/>
    <row r="317" ht="15.75" customHeight="1" s="45"/>
    <row r="318" ht="15.75" customHeight="1" s="45"/>
    <row r="319" ht="15.75" customHeight="1" s="45"/>
    <row r="320" ht="15.75" customHeight="1" s="45"/>
    <row r="321" ht="15.75" customHeight="1" s="45"/>
    <row r="322" ht="15.75" customHeight="1" s="45"/>
    <row r="323" ht="15.75" customHeight="1" s="45"/>
    <row r="324" ht="15.75" customHeight="1" s="45"/>
    <row r="325" ht="15.75" customHeight="1" s="45"/>
    <row r="326" ht="15.75" customHeight="1" s="45"/>
    <row r="327" ht="15.75" customHeight="1" s="45"/>
    <row r="328" ht="15.75" customHeight="1" s="45"/>
    <row r="329" ht="15.75" customHeight="1" s="45"/>
    <row r="330" ht="15.75" customHeight="1" s="45"/>
    <row r="331" ht="15.75" customHeight="1" s="45"/>
    <row r="332" ht="15.75" customHeight="1" s="45"/>
    <row r="333" ht="15.75" customHeight="1" s="45"/>
    <row r="334" ht="15.75" customHeight="1" s="45"/>
    <row r="335" ht="15.75" customHeight="1" s="45"/>
    <row r="336" ht="15.75" customHeight="1" s="45"/>
    <row r="337" ht="15.75" customHeight="1" s="45"/>
    <row r="338" ht="15.75" customHeight="1" s="45"/>
    <row r="339" ht="15.75" customHeight="1" s="45"/>
    <row r="340" ht="15.75" customHeight="1" s="45"/>
    <row r="341" ht="15.75" customHeight="1" s="45"/>
    <row r="342" ht="15.75" customHeight="1" s="45"/>
    <row r="343" ht="15.75" customHeight="1" s="45"/>
    <row r="344" ht="15.75" customHeight="1" s="45"/>
    <row r="345" ht="15.75" customHeight="1" s="45"/>
    <row r="346" ht="15.75" customHeight="1" s="45"/>
    <row r="347" ht="15.75" customHeight="1" s="45"/>
    <row r="348" ht="15.75" customHeight="1" s="45"/>
    <row r="349" ht="15.75" customHeight="1" s="45"/>
    <row r="350" ht="15.75" customHeight="1" s="45"/>
    <row r="351" ht="15.75" customHeight="1" s="45"/>
    <row r="352" ht="15.75" customHeight="1" s="45"/>
    <row r="353" ht="15.75" customHeight="1" s="45"/>
    <row r="354" ht="15.75" customHeight="1" s="45"/>
    <row r="355" ht="15.75" customHeight="1" s="45"/>
    <row r="356" ht="15.75" customHeight="1" s="45"/>
    <row r="357" ht="15.75" customHeight="1" s="45"/>
    <row r="358" ht="15.75" customHeight="1" s="45"/>
    <row r="359" ht="15.75" customHeight="1" s="45"/>
    <row r="360" ht="15.75" customHeight="1" s="45"/>
    <row r="361" ht="15.75" customHeight="1" s="45"/>
    <row r="362" ht="15.75" customHeight="1" s="45"/>
    <row r="363" ht="15.75" customHeight="1" s="45"/>
    <row r="364" ht="15.75" customHeight="1" s="45"/>
    <row r="365" ht="15.75" customHeight="1" s="45"/>
    <row r="366" ht="15.75" customHeight="1" s="45"/>
    <row r="367" ht="15.75" customHeight="1" s="45"/>
    <row r="368" ht="15.75" customHeight="1" s="45"/>
    <row r="369" ht="15.75" customHeight="1" s="45"/>
    <row r="370" ht="15.75" customHeight="1" s="45"/>
    <row r="371" ht="15.75" customHeight="1" s="45"/>
    <row r="372" ht="15.75" customHeight="1" s="45"/>
    <row r="373" ht="15.75" customHeight="1" s="45"/>
    <row r="374" ht="15.75" customHeight="1" s="45"/>
    <row r="375" ht="15.75" customHeight="1" s="45"/>
    <row r="376" ht="15.75" customHeight="1" s="45"/>
    <row r="377" ht="15.75" customHeight="1" s="45"/>
    <row r="378" ht="15.75" customHeight="1" s="45"/>
    <row r="379" ht="15.75" customHeight="1" s="45"/>
    <row r="380" ht="15.75" customHeight="1" s="45"/>
    <row r="381" ht="15.75" customHeight="1" s="45"/>
    <row r="382" ht="15.75" customHeight="1" s="45"/>
    <row r="383" ht="15.75" customHeight="1" s="45"/>
    <row r="384" ht="15.75" customHeight="1" s="45"/>
    <row r="385" ht="15.75" customHeight="1" s="45"/>
    <row r="386" ht="15.75" customHeight="1" s="45"/>
    <row r="387" ht="15.75" customHeight="1" s="45"/>
    <row r="388" ht="15.75" customHeight="1" s="45"/>
    <row r="389" ht="15.75" customHeight="1" s="45"/>
    <row r="390" ht="15.75" customHeight="1" s="45"/>
    <row r="391" ht="15.75" customHeight="1" s="45"/>
    <row r="392" ht="15.75" customHeight="1" s="45"/>
    <row r="393" ht="15.75" customHeight="1" s="45"/>
    <row r="394" ht="15.75" customHeight="1" s="45"/>
    <row r="395" ht="15.75" customHeight="1" s="45"/>
    <row r="396" ht="15.75" customHeight="1" s="45"/>
    <row r="397" ht="15.75" customHeight="1" s="45"/>
    <row r="398" ht="15.75" customHeight="1" s="45"/>
    <row r="399" ht="15.75" customHeight="1" s="45"/>
    <row r="400" ht="15.75" customHeight="1" s="45"/>
    <row r="401" ht="15.75" customHeight="1" s="45"/>
    <row r="402" ht="15.75" customHeight="1" s="45"/>
    <row r="403" ht="15.75" customHeight="1" s="45"/>
    <row r="404" ht="15.75" customHeight="1" s="45"/>
    <row r="405" ht="15.75" customHeight="1" s="45"/>
    <row r="406" ht="15.75" customHeight="1" s="45"/>
    <row r="407" ht="15.75" customHeight="1" s="45"/>
    <row r="408" ht="15.75" customHeight="1" s="45"/>
    <row r="409" ht="15.75" customHeight="1" s="45"/>
    <row r="410" ht="15.75" customHeight="1" s="45"/>
    <row r="411" ht="15.75" customHeight="1" s="45"/>
    <row r="412" ht="15.75" customHeight="1" s="45"/>
    <row r="413" ht="15.75" customHeight="1" s="45"/>
    <row r="414" ht="15.75" customHeight="1" s="45"/>
    <row r="415" ht="15.75" customHeight="1" s="45"/>
    <row r="416" ht="15.75" customHeight="1" s="45"/>
    <row r="417" ht="15.75" customHeight="1" s="45"/>
    <row r="418" ht="15.75" customHeight="1" s="45"/>
    <row r="419" ht="15.75" customHeight="1" s="45"/>
    <row r="420" ht="15.75" customHeight="1" s="45"/>
    <row r="421" ht="15.75" customHeight="1" s="45"/>
    <row r="422" ht="15.75" customHeight="1" s="45"/>
    <row r="423" ht="15.75" customHeight="1" s="45"/>
    <row r="424" ht="15.75" customHeight="1" s="45"/>
    <row r="425" ht="15.75" customHeight="1" s="45"/>
    <row r="426" ht="15.75" customHeight="1" s="45"/>
    <row r="427" ht="15.75" customHeight="1" s="45"/>
    <row r="428" ht="15.75" customHeight="1" s="45"/>
    <row r="429" ht="15.75" customHeight="1" s="45"/>
    <row r="430" ht="15.75" customHeight="1" s="45"/>
    <row r="431" ht="15.75" customHeight="1" s="45"/>
    <row r="432" ht="15.75" customHeight="1" s="45"/>
    <row r="433" ht="15.75" customHeight="1" s="45"/>
    <row r="434" ht="15.75" customHeight="1" s="45"/>
    <row r="435" ht="15.75" customHeight="1" s="45"/>
    <row r="436" ht="15.75" customHeight="1" s="45"/>
    <row r="437" ht="15.75" customHeight="1" s="45"/>
    <row r="438" ht="15.75" customHeight="1" s="45"/>
    <row r="439" ht="15.75" customHeight="1" s="45"/>
    <row r="440" ht="15.75" customHeight="1" s="45"/>
    <row r="441" ht="15.75" customHeight="1" s="45"/>
    <row r="442" ht="15.75" customHeight="1" s="45"/>
    <row r="443" ht="15.75" customHeight="1" s="45"/>
    <row r="444" ht="15.75" customHeight="1" s="45"/>
    <row r="445" ht="15.75" customHeight="1" s="45"/>
    <row r="446" ht="15.75" customHeight="1" s="45"/>
    <row r="447" ht="15.75" customHeight="1" s="45"/>
    <row r="448" ht="15.75" customHeight="1" s="45"/>
    <row r="449" ht="15.75" customHeight="1" s="45"/>
    <row r="450" ht="15.75" customHeight="1" s="45"/>
    <row r="451" ht="15.75" customHeight="1" s="45"/>
    <row r="452" ht="15.75" customHeight="1" s="45"/>
    <row r="453" ht="15.75" customHeight="1" s="45"/>
    <row r="454" ht="15.75" customHeight="1" s="45"/>
    <row r="455" ht="15.75" customHeight="1" s="45"/>
    <row r="456" ht="15.75" customHeight="1" s="45"/>
    <row r="457" ht="15.75" customHeight="1" s="45"/>
    <row r="458" ht="15.75" customHeight="1" s="45"/>
    <row r="459" ht="15.75" customHeight="1" s="45"/>
    <row r="460" ht="15.75" customHeight="1" s="45"/>
    <row r="461" ht="15.75" customHeight="1" s="45"/>
    <row r="462" ht="15.75" customHeight="1" s="45"/>
    <row r="463" ht="15.75" customHeight="1" s="45"/>
    <row r="464" ht="15.75" customHeight="1" s="45"/>
    <row r="465" ht="15.75" customHeight="1" s="45"/>
    <row r="466" ht="15.75" customHeight="1" s="45"/>
    <row r="467" ht="15.75" customHeight="1" s="45"/>
    <row r="468" ht="15.75" customHeight="1" s="45"/>
    <row r="469" ht="15.75" customHeight="1" s="45"/>
    <row r="470" ht="15.75" customHeight="1" s="45"/>
    <row r="471" ht="15.75" customHeight="1" s="45"/>
    <row r="472" ht="15.75" customHeight="1" s="45"/>
    <row r="473" ht="15.75" customHeight="1" s="45"/>
    <row r="474" ht="15.75" customHeight="1" s="45"/>
    <row r="475" ht="15.75" customHeight="1" s="45"/>
    <row r="476" ht="15.75" customHeight="1" s="45"/>
    <row r="477" ht="15.75" customHeight="1" s="45"/>
    <row r="478" ht="15.75" customHeight="1" s="45"/>
    <row r="479" ht="15.75" customHeight="1" s="45"/>
    <row r="480" ht="15.75" customHeight="1" s="45"/>
    <row r="481" ht="15.75" customHeight="1" s="45"/>
    <row r="482" ht="15.75" customHeight="1" s="45"/>
    <row r="483" ht="15.75" customHeight="1" s="45"/>
    <row r="484" ht="15.75" customHeight="1" s="45"/>
    <row r="485" ht="15.75" customHeight="1" s="45"/>
    <row r="486" ht="15.75" customHeight="1" s="45"/>
    <row r="487" ht="15.75" customHeight="1" s="45"/>
    <row r="488" ht="15.75" customHeight="1" s="45"/>
    <row r="489" ht="15.75" customHeight="1" s="45"/>
    <row r="490" ht="15.75" customHeight="1" s="45"/>
    <row r="491" ht="15.75" customHeight="1" s="45"/>
    <row r="492" ht="15.75" customHeight="1" s="45"/>
    <row r="493" ht="15.75" customHeight="1" s="45"/>
    <row r="494" ht="15.75" customHeight="1" s="45"/>
    <row r="495" ht="15.75" customHeight="1" s="45"/>
    <row r="496" ht="15.75" customHeight="1" s="45"/>
    <row r="497" ht="15.75" customHeight="1" s="45"/>
    <row r="498" ht="15.75" customHeight="1" s="45"/>
    <row r="499" ht="15.75" customHeight="1" s="45"/>
    <row r="500" ht="15.75" customHeight="1" s="45"/>
    <row r="501" ht="15.75" customHeight="1" s="45"/>
    <row r="502" ht="15.75" customHeight="1" s="45"/>
    <row r="503" ht="15.75" customHeight="1" s="45"/>
    <row r="504" ht="15.75" customHeight="1" s="45"/>
    <row r="505" ht="15.75" customHeight="1" s="45"/>
    <row r="506" ht="15.75" customHeight="1" s="45"/>
    <row r="507" ht="15.75" customHeight="1" s="45"/>
    <row r="508" ht="15.75" customHeight="1" s="45"/>
    <row r="509" ht="15.75" customHeight="1" s="45"/>
    <row r="510" ht="15.75" customHeight="1" s="45"/>
    <row r="511" ht="15.75" customHeight="1" s="45"/>
    <row r="512" ht="15.75" customHeight="1" s="45"/>
    <row r="513" ht="15.75" customHeight="1" s="45"/>
    <row r="514" ht="15.75" customHeight="1" s="45"/>
    <row r="515" ht="15.75" customHeight="1" s="45"/>
    <row r="516" ht="15.75" customHeight="1" s="45"/>
    <row r="517" ht="15.75" customHeight="1" s="45"/>
    <row r="518" ht="15.75" customHeight="1" s="45"/>
    <row r="519" ht="15.75" customHeight="1" s="45"/>
    <row r="520" ht="15.75" customHeight="1" s="45"/>
    <row r="521" ht="15.75" customHeight="1" s="45"/>
    <row r="522" ht="15.75" customHeight="1" s="45"/>
    <row r="523" ht="15.75" customHeight="1" s="45"/>
    <row r="524" ht="15.75" customHeight="1" s="45"/>
    <row r="525" ht="15.75" customHeight="1" s="45"/>
    <row r="526" ht="15.75" customHeight="1" s="45"/>
    <row r="527" ht="15.75" customHeight="1" s="45"/>
    <row r="528" ht="15.75" customHeight="1" s="45"/>
    <row r="529" ht="15.75" customHeight="1" s="45"/>
    <row r="530" ht="15.75" customHeight="1" s="45"/>
    <row r="531" ht="15.75" customHeight="1" s="45"/>
    <row r="532" ht="15.75" customHeight="1" s="45"/>
    <row r="533" ht="15.75" customHeight="1" s="45"/>
    <row r="534" ht="15.75" customHeight="1" s="45"/>
    <row r="535" ht="15.75" customHeight="1" s="45"/>
    <row r="536" ht="15.75" customHeight="1" s="45"/>
    <row r="537" ht="15.75" customHeight="1" s="45"/>
    <row r="538" ht="15.75" customHeight="1" s="45"/>
    <row r="539" ht="15.75" customHeight="1" s="45"/>
    <row r="540" ht="15.75" customHeight="1" s="45"/>
    <row r="541" ht="15.75" customHeight="1" s="45"/>
    <row r="542" ht="15.75" customHeight="1" s="45"/>
    <row r="543" ht="15.75" customHeight="1" s="45"/>
    <row r="544" ht="15.75" customHeight="1" s="45"/>
    <row r="545" ht="15.75" customHeight="1" s="45"/>
    <row r="546" ht="15.75" customHeight="1" s="45"/>
    <row r="547" ht="15.75" customHeight="1" s="45"/>
    <row r="548" ht="15.75" customHeight="1" s="45"/>
    <row r="549" ht="15.75" customHeight="1" s="45"/>
    <row r="550" ht="15.75" customHeight="1" s="45"/>
    <row r="551" ht="15.75" customHeight="1" s="45"/>
    <row r="552" ht="15.75" customHeight="1" s="45"/>
    <row r="553" ht="15.75" customHeight="1" s="45"/>
    <row r="554" ht="15.75" customHeight="1" s="45"/>
    <row r="555" ht="15.75" customHeight="1" s="45"/>
    <row r="556" ht="15.75" customHeight="1" s="45"/>
    <row r="557" ht="15.75" customHeight="1" s="45"/>
    <row r="558" ht="15.75" customHeight="1" s="45"/>
    <row r="559" ht="15.75" customHeight="1" s="45"/>
    <row r="560" ht="15.75" customHeight="1" s="45"/>
    <row r="561" ht="15.75" customHeight="1" s="45"/>
    <row r="562" ht="15.75" customHeight="1" s="45"/>
    <row r="563" ht="15.75" customHeight="1" s="45"/>
    <row r="564" ht="15.75" customHeight="1" s="45"/>
    <row r="565" ht="15.75" customHeight="1" s="45"/>
    <row r="566" ht="15.75" customHeight="1" s="45"/>
    <row r="567" ht="15.75" customHeight="1" s="45"/>
    <row r="568" ht="15.75" customHeight="1" s="45"/>
    <row r="569" ht="15.75" customHeight="1" s="45"/>
    <row r="570" ht="15.75" customHeight="1" s="45"/>
    <row r="571" ht="15.75" customHeight="1" s="45"/>
    <row r="572" ht="15.75" customHeight="1" s="45"/>
    <row r="573" ht="15.75" customHeight="1" s="45"/>
    <row r="574" ht="15.75" customHeight="1" s="45"/>
    <row r="575" ht="15.75" customHeight="1" s="45"/>
    <row r="576" ht="15.75" customHeight="1" s="45"/>
    <row r="577" ht="15.75" customHeight="1" s="45"/>
    <row r="578" ht="15.75" customHeight="1" s="45"/>
    <row r="579" ht="15.75" customHeight="1" s="45"/>
    <row r="580" ht="15.75" customHeight="1" s="45"/>
    <row r="581" ht="15.75" customHeight="1" s="45"/>
    <row r="582" ht="15.75" customHeight="1" s="45"/>
    <row r="583" ht="15.75" customHeight="1" s="45"/>
    <row r="584" ht="15.75" customHeight="1" s="45"/>
    <row r="585" ht="15.75" customHeight="1" s="45"/>
    <row r="586" ht="15.75" customHeight="1" s="45"/>
    <row r="587" ht="15.75" customHeight="1" s="45"/>
    <row r="588" ht="15.75" customHeight="1" s="45"/>
    <row r="589" ht="15.75" customHeight="1" s="45"/>
    <row r="590" ht="15.75" customHeight="1" s="45"/>
    <row r="591" ht="15.75" customHeight="1" s="45"/>
    <row r="592" ht="15.75" customHeight="1" s="45"/>
    <row r="593" ht="15.75" customHeight="1" s="45"/>
    <row r="594" ht="15.75" customHeight="1" s="45"/>
    <row r="595" ht="15.75" customHeight="1" s="45"/>
    <row r="596" ht="15.75" customHeight="1" s="45"/>
    <row r="597" ht="15.75" customHeight="1" s="45"/>
    <row r="598" ht="15.75" customHeight="1" s="45"/>
    <row r="599" ht="15.75" customHeight="1" s="45"/>
    <row r="600" ht="15.75" customHeight="1" s="45"/>
    <row r="601" ht="15.75" customHeight="1" s="45"/>
    <row r="602" ht="15.75" customHeight="1" s="45"/>
    <row r="603" ht="15.75" customHeight="1" s="45"/>
    <row r="604" ht="15.75" customHeight="1" s="45"/>
    <row r="605" ht="15.75" customHeight="1" s="45"/>
    <row r="606" ht="15.75" customHeight="1" s="45"/>
    <row r="607" ht="15.75" customHeight="1" s="45"/>
    <row r="608" ht="15.75" customHeight="1" s="45"/>
    <row r="609" ht="15.75" customHeight="1" s="45"/>
    <row r="610" ht="15.75" customHeight="1" s="45"/>
    <row r="611" ht="15.75" customHeight="1" s="45"/>
    <row r="612" ht="15.75" customHeight="1" s="45"/>
    <row r="613" ht="15.75" customHeight="1" s="45"/>
    <row r="614" ht="15.75" customHeight="1" s="45"/>
    <row r="615" ht="15.75" customHeight="1" s="45"/>
    <row r="616" ht="15.75" customHeight="1" s="45"/>
    <row r="617" ht="15.75" customHeight="1" s="45"/>
    <row r="618" ht="15.75" customHeight="1" s="45"/>
    <row r="619" ht="15.75" customHeight="1" s="45"/>
    <row r="620" ht="15.75" customHeight="1" s="45"/>
    <row r="621" ht="15.75" customHeight="1" s="45"/>
    <row r="622" ht="15.75" customHeight="1" s="45"/>
    <row r="623" ht="15.75" customHeight="1" s="45"/>
    <row r="624" ht="15.75" customHeight="1" s="45"/>
    <row r="625" ht="15.75" customHeight="1" s="45"/>
    <row r="626" ht="15.75" customHeight="1" s="45"/>
    <row r="627" ht="15.75" customHeight="1" s="45"/>
    <row r="628" ht="15.75" customHeight="1" s="45"/>
    <row r="629" ht="15.75" customHeight="1" s="45"/>
    <row r="630" ht="15.75" customHeight="1" s="45"/>
    <row r="631" ht="15.75" customHeight="1" s="45"/>
    <row r="632" ht="15.75" customHeight="1" s="45"/>
    <row r="633" ht="15.75" customHeight="1" s="45"/>
    <row r="634" ht="15.75" customHeight="1" s="45"/>
    <row r="635" ht="15.75" customHeight="1" s="45"/>
    <row r="636" ht="15.75" customHeight="1" s="45"/>
    <row r="637" ht="15.75" customHeight="1" s="45"/>
    <row r="638" ht="15.75" customHeight="1" s="45"/>
    <row r="639" ht="15.75" customHeight="1" s="45"/>
    <row r="640" ht="15.75" customHeight="1" s="45"/>
    <row r="641" ht="15.75" customHeight="1" s="45"/>
    <row r="642" ht="15.75" customHeight="1" s="45"/>
    <row r="643" ht="15.75" customHeight="1" s="45"/>
    <row r="644" ht="15.75" customHeight="1" s="45"/>
    <row r="645" ht="15.75" customHeight="1" s="45"/>
    <row r="646" ht="15.75" customHeight="1" s="45"/>
    <row r="647" ht="15.75" customHeight="1" s="45"/>
    <row r="648" ht="15.75" customHeight="1" s="45"/>
    <row r="649" ht="15.75" customHeight="1" s="45"/>
    <row r="650" ht="15.75" customHeight="1" s="45"/>
    <row r="651" ht="15.75" customHeight="1" s="45"/>
    <row r="652" ht="15.75" customHeight="1" s="45"/>
    <row r="653" ht="15.75" customHeight="1" s="45"/>
    <row r="654" ht="15.75" customHeight="1" s="45"/>
    <row r="655" ht="15.75" customHeight="1" s="45"/>
    <row r="656" ht="15.75" customHeight="1" s="45"/>
    <row r="657" ht="15.75" customHeight="1" s="45"/>
    <row r="658" ht="15.75" customHeight="1" s="45"/>
    <row r="659" ht="15.75" customHeight="1" s="45"/>
    <row r="660" ht="15.75" customHeight="1" s="45"/>
    <row r="661" ht="15.75" customHeight="1" s="45"/>
    <row r="662" ht="15.75" customHeight="1" s="45"/>
    <row r="663" ht="15.75" customHeight="1" s="45"/>
    <row r="664" ht="15.75" customHeight="1" s="45"/>
    <row r="665" ht="15.75" customHeight="1" s="45"/>
    <row r="666" ht="15.75" customHeight="1" s="45"/>
    <row r="667" ht="15.75" customHeight="1" s="45"/>
    <row r="668" ht="15.75" customHeight="1" s="45"/>
    <row r="669" ht="15.75" customHeight="1" s="45"/>
    <row r="670" ht="15.75" customHeight="1" s="45"/>
    <row r="671" ht="15.75" customHeight="1" s="45"/>
    <row r="672" ht="15.75" customHeight="1" s="45"/>
    <row r="673" ht="15.75" customHeight="1" s="45"/>
    <row r="674" ht="15.75" customHeight="1" s="45"/>
    <row r="675" ht="15.75" customHeight="1" s="45"/>
    <row r="676" ht="15.75" customHeight="1" s="45"/>
    <row r="677" ht="15.75" customHeight="1" s="45"/>
    <row r="678" ht="15.75" customHeight="1" s="45"/>
    <row r="679" ht="15.75" customHeight="1" s="45"/>
    <row r="680" ht="15.75" customHeight="1" s="45"/>
    <row r="681" ht="15.75" customHeight="1" s="45"/>
    <row r="682" ht="15.75" customHeight="1" s="45"/>
    <row r="683" ht="15.75" customHeight="1" s="45"/>
    <row r="684" ht="15.75" customHeight="1" s="45"/>
    <row r="685" ht="15.75" customHeight="1" s="45"/>
    <row r="686" ht="15.75" customHeight="1" s="45"/>
    <row r="687" ht="15.75" customHeight="1" s="45"/>
    <row r="688" ht="15.75" customHeight="1" s="45"/>
    <row r="689" ht="15.75" customHeight="1" s="45"/>
    <row r="690" ht="15.75" customHeight="1" s="45"/>
    <row r="691" ht="15.75" customHeight="1" s="45"/>
    <row r="692" ht="15.75" customHeight="1" s="45"/>
    <row r="693" ht="15.75" customHeight="1" s="45"/>
    <row r="694" ht="15.75" customHeight="1" s="45"/>
    <row r="695" ht="15.75" customHeight="1" s="45"/>
    <row r="696" ht="15.75" customHeight="1" s="45"/>
    <row r="697" ht="15.75" customHeight="1" s="45"/>
    <row r="698" ht="15.75" customHeight="1" s="45"/>
    <row r="699" ht="15.75" customHeight="1" s="45"/>
    <row r="700" ht="15.75" customHeight="1" s="45"/>
    <row r="701" ht="15.75" customHeight="1" s="45"/>
    <row r="702" ht="15.75" customHeight="1" s="45"/>
    <row r="703" ht="15.75" customHeight="1" s="45"/>
    <row r="704" ht="15.75" customHeight="1" s="45"/>
    <row r="705" ht="15.75" customHeight="1" s="45"/>
    <row r="706" ht="15.75" customHeight="1" s="45"/>
    <row r="707" ht="15.75" customHeight="1" s="45"/>
    <row r="708" ht="15.75" customHeight="1" s="45"/>
    <row r="709" ht="15.75" customHeight="1" s="45"/>
    <row r="710" ht="15.75" customHeight="1" s="45"/>
    <row r="711" ht="15.75" customHeight="1" s="45"/>
    <row r="712" ht="15.75" customHeight="1" s="45"/>
    <row r="713" ht="15.75" customHeight="1" s="45"/>
    <row r="714" ht="15.75" customHeight="1" s="45"/>
    <row r="715" ht="15.75" customHeight="1" s="45"/>
    <row r="716" ht="15.75" customHeight="1" s="45"/>
    <row r="717" ht="15.75" customHeight="1" s="45"/>
    <row r="718" ht="15.75" customHeight="1" s="45"/>
    <row r="719" ht="15.75" customHeight="1" s="45"/>
    <row r="720" ht="15.75" customHeight="1" s="45"/>
    <row r="721" ht="15.75" customHeight="1" s="45"/>
    <row r="722" ht="15.75" customHeight="1" s="45"/>
    <row r="723" ht="15.75" customHeight="1" s="45"/>
    <row r="724" ht="15.75" customHeight="1" s="45"/>
    <row r="725" ht="15.75" customHeight="1" s="45"/>
    <row r="726" ht="15.75" customHeight="1" s="45"/>
    <row r="727" ht="15.75" customHeight="1" s="45"/>
    <row r="728" ht="15.75" customHeight="1" s="45"/>
    <row r="729" ht="15.75" customHeight="1" s="45"/>
    <row r="730" ht="15.75" customHeight="1" s="45"/>
    <row r="731" ht="15.75" customHeight="1" s="45"/>
    <row r="732" ht="15.75" customHeight="1" s="45"/>
    <row r="733" ht="15.75" customHeight="1" s="45"/>
    <row r="734" ht="15.75" customHeight="1" s="45"/>
    <row r="735" ht="15.75" customHeight="1" s="45"/>
    <row r="736" ht="15.75" customHeight="1" s="45"/>
    <row r="737" ht="15.75" customHeight="1" s="45"/>
    <row r="738" ht="15.75" customHeight="1" s="45"/>
    <row r="739" ht="15.75" customHeight="1" s="45"/>
    <row r="740" ht="15.75" customHeight="1" s="45"/>
    <row r="741" ht="15.75" customHeight="1" s="45"/>
    <row r="742" ht="15.75" customHeight="1" s="45"/>
    <row r="743" ht="15.75" customHeight="1" s="45"/>
    <row r="744" ht="15.75" customHeight="1" s="45"/>
    <row r="745" ht="15.75" customHeight="1" s="45"/>
    <row r="746" ht="15.75" customHeight="1" s="45"/>
    <row r="747" ht="15.75" customHeight="1" s="45"/>
    <row r="748" ht="15.75" customHeight="1" s="45"/>
    <row r="749" ht="15.75" customHeight="1" s="45"/>
    <row r="750" ht="15.75" customHeight="1" s="45"/>
    <row r="751" ht="15.75" customHeight="1" s="45"/>
    <row r="752" ht="15.75" customHeight="1" s="45"/>
    <row r="753" ht="15.75" customHeight="1" s="45"/>
    <row r="754" ht="15.75" customHeight="1" s="45"/>
    <row r="755" ht="15.75" customHeight="1" s="45"/>
    <row r="756" ht="15.75" customHeight="1" s="45"/>
    <row r="757" ht="15.75" customHeight="1" s="45"/>
    <row r="758" ht="15.75" customHeight="1" s="45"/>
    <row r="759" ht="15.75" customHeight="1" s="45"/>
    <row r="760" ht="15.75" customHeight="1" s="45"/>
    <row r="761" ht="15.75" customHeight="1" s="45"/>
    <row r="762" ht="15.75" customHeight="1" s="45"/>
    <row r="763" ht="15.75" customHeight="1" s="45"/>
    <row r="764" ht="15.75" customHeight="1" s="45"/>
    <row r="765" ht="15.75" customHeight="1" s="45"/>
    <row r="766" ht="15.75" customHeight="1" s="45"/>
    <row r="767" ht="15.75" customHeight="1" s="45"/>
    <row r="768" ht="15.75" customHeight="1" s="45"/>
    <row r="769" ht="15.75" customHeight="1" s="45"/>
    <row r="770" ht="15.75" customHeight="1" s="45"/>
    <row r="771" ht="15.75" customHeight="1" s="45"/>
    <row r="772" ht="15.75" customHeight="1" s="45"/>
    <row r="773" ht="15.75" customHeight="1" s="45"/>
    <row r="774" ht="15.75" customHeight="1" s="45"/>
    <row r="775" ht="15.75" customHeight="1" s="45"/>
    <row r="776" ht="15.75" customHeight="1" s="45"/>
    <row r="777" ht="15.75" customHeight="1" s="45"/>
    <row r="778" ht="15.75" customHeight="1" s="45"/>
    <row r="779" ht="15.75" customHeight="1" s="45"/>
    <row r="780" ht="15.75" customHeight="1" s="45"/>
    <row r="781" ht="15.75" customHeight="1" s="45"/>
    <row r="782" ht="15.75" customHeight="1" s="45"/>
    <row r="783" ht="15.75" customHeight="1" s="45"/>
    <row r="784" ht="15.75" customHeight="1" s="45"/>
    <row r="785" ht="15.75" customHeight="1" s="45"/>
    <row r="786" ht="15.75" customHeight="1" s="45"/>
    <row r="787" ht="15.75" customHeight="1" s="45"/>
    <row r="788" ht="15.75" customHeight="1" s="45"/>
    <row r="789" ht="15.75" customHeight="1" s="45"/>
    <row r="790" ht="15.75" customHeight="1" s="45"/>
    <row r="791" ht="15.75" customHeight="1" s="45"/>
    <row r="792" ht="15.75" customHeight="1" s="45"/>
    <row r="793" ht="15.75" customHeight="1" s="45"/>
    <row r="794" ht="15.75" customHeight="1" s="45"/>
    <row r="795" ht="15.75" customHeight="1" s="45"/>
    <row r="796" ht="15.75" customHeight="1" s="45"/>
    <row r="797" ht="15.75" customHeight="1" s="45"/>
    <row r="798" ht="15.75" customHeight="1" s="45"/>
    <row r="799" ht="15.75" customHeight="1" s="45"/>
    <row r="800" ht="15.75" customHeight="1" s="45"/>
    <row r="801" ht="15.75" customHeight="1" s="45"/>
    <row r="802" ht="15.75" customHeight="1" s="45"/>
    <row r="803" ht="15.75" customHeight="1" s="45"/>
    <row r="804" ht="15.75" customHeight="1" s="45"/>
    <row r="805" ht="15.75" customHeight="1" s="45"/>
    <row r="806" ht="15.75" customHeight="1" s="45"/>
    <row r="807" ht="15.75" customHeight="1" s="45"/>
    <row r="808" ht="15.75" customHeight="1" s="45"/>
    <row r="809" ht="15.75" customHeight="1" s="45"/>
    <row r="810" ht="15.75" customHeight="1" s="45"/>
    <row r="811" ht="15.75" customHeight="1" s="45"/>
    <row r="812" ht="15.75" customHeight="1" s="45"/>
    <row r="813" ht="15.75" customHeight="1" s="45"/>
    <row r="814" ht="15.75" customHeight="1" s="45"/>
    <row r="815" ht="15.75" customHeight="1" s="45"/>
    <row r="816" ht="15.75" customHeight="1" s="45"/>
    <row r="817" ht="15.75" customHeight="1" s="45"/>
    <row r="818" ht="15.75" customHeight="1" s="45"/>
    <row r="819" ht="15.75" customHeight="1" s="45"/>
    <row r="820" ht="15.75" customHeight="1" s="45"/>
    <row r="821" ht="15.75" customHeight="1" s="45"/>
    <row r="822" ht="15.75" customHeight="1" s="45"/>
    <row r="823" ht="15.75" customHeight="1" s="45"/>
    <row r="824" ht="15.75" customHeight="1" s="45"/>
    <row r="825" ht="15.75" customHeight="1" s="45"/>
    <row r="826" ht="15.75" customHeight="1" s="45"/>
    <row r="827" ht="15.75" customHeight="1" s="45"/>
    <row r="828" ht="15.75" customHeight="1" s="45"/>
    <row r="829" ht="15.75" customHeight="1" s="45"/>
    <row r="830" ht="15.75" customHeight="1" s="45"/>
    <row r="831" ht="15.75" customHeight="1" s="45"/>
    <row r="832" ht="15.75" customHeight="1" s="45"/>
    <row r="833" ht="15.75" customHeight="1" s="45"/>
    <row r="834" ht="15.75" customHeight="1" s="45"/>
    <row r="835" ht="15.75" customHeight="1" s="45"/>
    <row r="836" ht="15.75" customHeight="1" s="45"/>
    <row r="837" ht="15.75" customHeight="1" s="45"/>
    <row r="838" ht="15.75" customHeight="1" s="45"/>
    <row r="839" ht="15.75" customHeight="1" s="45"/>
    <row r="840" ht="15.75" customHeight="1" s="45"/>
    <row r="841" ht="15.75" customHeight="1" s="45"/>
    <row r="842" ht="15.75" customHeight="1" s="45"/>
    <row r="843" ht="15.75" customHeight="1" s="45"/>
    <row r="844" ht="15.75" customHeight="1" s="45"/>
    <row r="845" ht="15.75" customHeight="1" s="45"/>
    <row r="846" ht="15.75" customHeight="1" s="45"/>
    <row r="847" ht="15.75" customHeight="1" s="45"/>
    <row r="848" ht="15.75" customHeight="1" s="45"/>
    <row r="849" ht="15.75" customHeight="1" s="45"/>
    <row r="850" ht="15.75" customHeight="1" s="45"/>
    <row r="851" ht="15.75" customHeight="1" s="45"/>
    <row r="852" ht="15.75" customHeight="1" s="45"/>
    <row r="853" ht="15.75" customHeight="1" s="45"/>
    <row r="854" ht="15.75" customHeight="1" s="45"/>
    <row r="855" ht="15.75" customHeight="1" s="45"/>
    <row r="856" ht="15.75" customHeight="1" s="45"/>
    <row r="857" ht="15.75" customHeight="1" s="45"/>
    <row r="858" ht="15.75" customHeight="1" s="45"/>
    <row r="859" ht="15.75" customHeight="1" s="45"/>
    <row r="860" ht="15.75" customHeight="1" s="45"/>
    <row r="861" ht="15.75" customHeight="1" s="45"/>
    <row r="862" ht="15.75" customHeight="1" s="45"/>
    <row r="863" ht="15.75" customHeight="1" s="45"/>
    <row r="864" ht="15.75" customHeight="1" s="45"/>
    <row r="865" ht="15.75" customHeight="1" s="45"/>
    <row r="866" ht="15.75" customHeight="1" s="45"/>
    <row r="867" ht="15.75" customHeight="1" s="45"/>
    <row r="868" ht="15.75" customHeight="1" s="45"/>
    <row r="869" ht="15.75" customHeight="1" s="45"/>
    <row r="870" ht="15.75" customHeight="1" s="45"/>
    <row r="871" ht="15.75" customHeight="1" s="45"/>
    <row r="872" ht="15.75" customHeight="1" s="45"/>
    <row r="873" ht="15.75" customHeight="1" s="45"/>
    <row r="874" ht="15.75" customHeight="1" s="45"/>
    <row r="875" ht="15.75" customHeight="1" s="45"/>
    <row r="876" ht="15.75" customHeight="1" s="45"/>
    <row r="877" ht="15.75" customHeight="1" s="45"/>
    <row r="878" ht="15.75" customHeight="1" s="45"/>
    <row r="879" ht="15.75" customHeight="1" s="45"/>
    <row r="880" ht="15.75" customHeight="1" s="45"/>
    <row r="881" ht="15.75" customHeight="1" s="45"/>
    <row r="882" ht="15.75" customHeight="1" s="45"/>
    <row r="883" ht="15.75" customHeight="1" s="45"/>
    <row r="884" ht="15.75" customHeight="1" s="45"/>
    <row r="885" ht="15.75" customHeight="1" s="45"/>
    <row r="886" ht="15.75" customHeight="1" s="45"/>
    <row r="887" ht="15.75" customHeight="1" s="45"/>
    <row r="888" ht="15.75" customHeight="1" s="45"/>
    <row r="889" ht="15.75" customHeight="1" s="45"/>
    <row r="890" ht="15.75" customHeight="1" s="45"/>
    <row r="891" ht="15.75" customHeight="1" s="45"/>
    <row r="892" ht="15.75" customHeight="1" s="45"/>
    <row r="893" ht="15.75" customHeight="1" s="45"/>
    <row r="894" ht="15.75" customHeight="1" s="45"/>
    <row r="895" ht="15.75" customHeight="1" s="45"/>
    <row r="896" ht="15.75" customHeight="1" s="45"/>
    <row r="897" ht="15.75" customHeight="1" s="45"/>
    <row r="898" ht="15.75" customHeight="1" s="45"/>
    <row r="899" ht="15.75" customHeight="1" s="45"/>
    <row r="900" ht="15.75" customHeight="1" s="45"/>
    <row r="901" ht="15.75" customHeight="1" s="45"/>
    <row r="902" ht="15.75" customHeight="1" s="45"/>
    <row r="903" ht="15.75" customHeight="1" s="45"/>
    <row r="904" ht="15.75" customHeight="1" s="45"/>
    <row r="905" ht="15.75" customHeight="1" s="45"/>
    <row r="906" ht="15.75" customHeight="1" s="45"/>
    <row r="907" ht="15.75" customHeight="1" s="45"/>
    <row r="908" ht="15.75" customHeight="1" s="45"/>
    <row r="909" ht="15.75" customHeight="1" s="45"/>
    <row r="910" ht="15.75" customHeight="1" s="45"/>
    <row r="911" ht="15.75" customHeight="1" s="45"/>
    <row r="912" ht="15.75" customHeight="1" s="45"/>
    <row r="913" ht="15.75" customHeight="1" s="45"/>
    <row r="914" ht="15.75" customHeight="1" s="45"/>
    <row r="915" ht="15.75" customHeight="1" s="45"/>
    <row r="916" ht="15.75" customHeight="1" s="45"/>
    <row r="917" ht="15.75" customHeight="1" s="45"/>
    <row r="918" ht="15.75" customHeight="1" s="45"/>
    <row r="919" ht="15.75" customHeight="1" s="45"/>
    <row r="920" ht="15.75" customHeight="1" s="45"/>
    <row r="921" ht="15.75" customHeight="1" s="45"/>
    <row r="922" ht="15.75" customHeight="1" s="45"/>
    <row r="923" ht="15.75" customHeight="1" s="45"/>
    <row r="924" ht="15.75" customHeight="1" s="45"/>
    <row r="925" ht="15.75" customHeight="1" s="45"/>
    <row r="926" ht="15.75" customHeight="1" s="45"/>
    <row r="927" ht="15.75" customHeight="1" s="45"/>
    <row r="928" ht="15.75" customHeight="1" s="45"/>
    <row r="929" ht="15.75" customHeight="1" s="45"/>
    <row r="930" ht="15.75" customHeight="1" s="45"/>
    <row r="931" ht="15.75" customHeight="1" s="45"/>
    <row r="932" ht="15.75" customHeight="1" s="45"/>
    <row r="933" ht="15.75" customHeight="1" s="45"/>
    <row r="934" ht="15.75" customHeight="1" s="45"/>
    <row r="935" ht="15.75" customHeight="1" s="45"/>
    <row r="936" ht="15.75" customHeight="1" s="45"/>
    <row r="937" ht="15.75" customHeight="1" s="45"/>
    <row r="938" ht="15.75" customHeight="1" s="45"/>
    <row r="939" ht="15.75" customHeight="1" s="45"/>
    <row r="940" ht="15.75" customHeight="1" s="45"/>
    <row r="941" ht="15.75" customHeight="1" s="45"/>
    <row r="942" ht="15.75" customHeight="1" s="45"/>
    <row r="943" ht="15.75" customHeight="1" s="45"/>
    <row r="944" ht="15.75" customHeight="1" s="45"/>
    <row r="945" ht="15.75" customHeight="1" s="45"/>
    <row r="946" ht="15.75" customHeight="1" s="45"/>
    <row r="947" ht="15.75" customHeight="1" s="45"/>
    <row r="948" ht="15.75" customHeight="1" s="45"/>
    <row r="949" ht="15.75" customHeight="1" s="45"/>
    <row r="950" ht="15.75" customHeight="1" s="45"/>
    <row r="951" ht="15.75" customHeight="1" s="45"/>
    <row r="952" ht="15.75" customHeight="1" s="45"/>
    <row r="953" ht="15.75" customHeight="1" s="45"/>
    <row r="954" ht="15.75" customHeight="1" s="45"/>
    <row r="955" ht="15.75" customHeight="1" s="45"/>
    <row r="956" ht="15.75" customHeight="1" s="45"/>
    <row r="957" ht="15.75" customHeight="1" s="45"/>
    <row r="958" ht="15.75" customHeight="1" s="45"/>
    <row r="959" ht="15.75" customHeight="1" s="45"/>
    <row r="960" ht="15.75" customHeight="1" s="45"/>
    <row r="961" ht="15.75" customHeight="1" s="45"/>
    <row r="962" ht="15.75" customHeight="1" s="45"/>
    <row r="963" ht="15.75" customHeight="1" s="45"/>
    <row r="964" ht="15.75" customHeight="1" s="45"/>
    <row r="965" ht="15.75" customHeight="1" s="45"/>
    <row r="966" ht="15.75" customHeight="1" s="45"/>
    <row r="967" ht="15.75" customHeight="1" s="45"/>
    <row r="968" ht="15.75" customHeight="1" s="45"/>
    <row r="969" ht="15.75" customHeight="1" s="45"/>
    <row r="970" ht="15.75" customHeight="1" s="45"/>
    <row r="971" ht="15.75" customHeight="1" s="45"/>
    <row r="972" ht="15.75" customHeight="1" s="45"/>
    <row r="973" ht="15.75" customHeight="1" s="45"/>
    <row r="974" ht="15.75" customHeight="1" s="45"/>
    <row r="975" ht="15.75" customHeight="1" s="45"/>
    <row r="976" ht="15.75" customHeight="1" s="45"/>
    <row r="977" ht="15.75" customHeight="1" s="45"/>
    <row r="978" ht="15.75" customHeight="1" s="45"/>
    <row r="979" ht="15.75" customHeight="1" s="45"/>
    <row r="980" ht="15.75" customHeight="1" s="45"/>
    <row r="981" ht="15.75" customHeight="1" s="45"/>
    <row r="982" ht="15.75" customHeight="1" s="45"/>
    <row r="983" ht="15.75" customHeight="1" s="45"/>
    <row r="984" ht="15.75" customHeight="1" s="45"/>
    <row r="985" ht="15.75" customHeight="1" s="45"/>
    <row r="986" ht="15.75" customHeight="1" s="45"/>
    <row r="987" ht="15.75" customHeight="1" s="45"/>
    <row r="988" ht="15.75" customHeight="1" s="45"/>
    <row r="989" ht="15.75" customHeight="1" s="45"/>
    <row r="990" ht="15.75" customHeight="1" s="45"/>
    <row r="991" ht="15.75" customHeight="1" s="45"/>
    <row r="992" ht="15.75" customHeight="1" s="45"/>
    <row r="993" ht="15.75" customHeight="1" s="45"/>
    <row r="994" ht="15.75" customHeight="1" s="45"/>
    <row r="995" ht="15.75" customHeight="1" s="45"/>
    <row r="996" ht="15.75" customHeight="1" s="45"/>
    <row r="997" ht="15.75" customHeight="1" s="45"/>
    <row r="998" ht="15.75" customHeight="1" s="45"/>
    <row r="999" ht="15.75" customHeight="1" s="45"/>
    <row r="1000" ht="15.75" customHeight="1" s="45"/>
  </sheetData>
  <autoFilter ref="$A$2:$AU$51">
    <sortState ref="A2:AU51">
      <sortCondition ref="AT2:AT51"/>
      <sortCondition ref="AQ2:AQ51"/>
    </sortState>
  </autoFilter>
  <mergeCells count="7">
    <mergeCell ref="AK1:AM1"/>
    <mergeCell ref="AN1:AO1"/>
    <mergeCell ref="AR1:AS1"/>
    <mergeCell ref="AP1:AQ1"/>
    <mergeCell ref="AT1:AU1"/>
    <mergeCell ref="Z1:AF1"/>
    <mergeCell ref="AG1:AJ1"/>
  </mergeCells>
  <pageMargins left="0.7" right="0.7" top="0.75" bottom="0.75" header="0" footer="0"/>
  <pageSetup orientation="landscape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B1:L28"/>
  <sheetViews>
    <sheetView workbookViewId="0">
      <selection activeCell="A1" sqref="A1"/>
    </sheetView>
  </sheetViews>
  <sheetFormatPr baseColWidth="8" defaultColWidth="11.22" defaultRowHeight="15" customHeight="1"/>
  <cols>
    <col width="16.89" customWidth="1" style="45" min="6" max="6"/>
    <col width="16.78" customWidth="1" style="45" min="7" max="7"/>
  </cols>
  <sheetData>
    <row r="1">
      <c r="B1" s="1" t="inlineStr">
        <is>
          <t>Asset</t>
        </is>
      </c>
      <c r="C1" s="1" t="inlineStr">
        <is>
          <t xml:space="preserve">Target </t>
        </is>
      </c>
      <c r="D1" s="1" t="inlineStr">
        <is>
          <t>Banda</t>
        </is>
      </c>
      <c r="F1" s="2" t="inlineStr">
        <is>
          <t>Patrimonio inicial</t>
        </is>
      </c>
      <c r="G1" s="3" t="inlineStr">
        <is>
          <t>USD 1.000.000</t>
        </is>
      </c>
    </row>
    <row r="2">
      <c r="B2" s="4" t="inlineStr">
        <is>
          <t>Equity</t>
        </is>
      </c>
      <c r="C2" s="5" t="n">
        <v>0.3</v>
      </c>
      <c r="D2" s="4" t="inlineStr">
        <is>
          <t>25%-35%</t>
        </is>
      </c>
      <c r="F2" s="1" t="inlineStr">
        <is>
          <t>Horizonte</t>
        </is>
      </c>
      <c r="G2" s="4" t="inlineStr">
        <is>
          <t>10 años</t>
        </is>
      </c>
    </row>
    <row r="3">
      <c r="B3" s="4" t="inlineStr">
        <is>
          <t>Bond</t>
        </is>
      </c>
      <c r="C3" s="5" t="n">
        <v>0.5</v>
      </c>
      <c r="D3" s="4" t="inlineStr">
        <is>
          <t>45%-55%</t>
        </is>
      </c>
    </row>
    <row r="4">
      <c r="B4" s="4" t="inlineStr">
        <is>
          <t>Cash</t>
        </is>
      </c>
      <c r="C4" s="5" t="n">
        <v>0.1</v>
      </c>
      <c r="D4" s="4" t="inlineStr">
        <is>
          <t>5%-15%</t>
        </is>
      </c>
      <c r="F4" s="6" t="inlineStr">
        <is>
          <t>Desembolsos</t>
        </is>
      </c>
    </row>
    <row r="5">
      <c r="B5" s="4" t="inlineStr">
        <is>
          <t>REITs</t>
        </is>
      </c>
      <c r="C5" s="5" t="n">
        <v>0.05</v>
      </c>
      <c r="D5" s="4" t="inlineStr">
        <is>
          <t>3%-7%</t>
        </is>
      </c>
      <c r="F5" s="1" t="inlineStr">
        <is>
          <t>Año 3</t>
        </is>
      </c>
      <c r="G5" s="7" t="n">
        <v>-150000</v>
      </c>
    </row>
    <row r="6">
      <c r="B6" s="4" t="inlineStr">
        <is>
          <t>Gold</t>
        </is>
      </c>
      <c r="C6" s="5" t="n">
        <v>0.05</v>
      </c>
      <c r="D6" s="4" t="inlineStr">
        <is>
          <t>3%-7%</t>
        </is>
      </c>
      <c r="F6" s="1" t="inlineStr">
        <is>
          <t>Año 7</t>
        </is>
      </c>
      <c r="G6" s="7" t="n">
        <v>-180000</v>
      </c>
    </row>
    <row r="10">
      <c r="B10" s="8" t="inlineStr">
        <is>
          <t>#</t>
        </is>
      </c>
      <c r="C10" s="9" t="inlineStr">
        <is>
          <t>Ticker</t>
        </is>
      </c>
      <c r="D10" s="9" t="inlineStr">
        <is>
          <t>Emisor</t>
        </is>
      </c>
      <c r="E10" s="9" t="inlineStr">
        <is>
          <t>Cupon</t>
        </is>
      </c>
      <c r="F10" s="9" t="inlineStr">
        <is>
          <t>Frecuencia cupon</t>
        </is>
      </c>
      <c r="G10" s="9" t="inlineStr">
        <is>
          <t>Vencimiento</t>
        </is>
      </c>
      <c r="H10" s="9" t="inlineStr">
        <is>
          <t>Rating (S&amp;P/Moody's)</t>
        </is>
      </c>
      <c r="I10" s="9" t="inlineStr">
        <is>
          <t>TIR aprox</t>
        </is>
      </c>
      <c r="J10" s="9" t="inlineStr">
        <is>
          <t>ISIN/CUSIP</t>
        </is>
      </c>
      <c r="K10" s="9" t="inlineStr">
        <is>
          <t>Sector</t>
        </is>
      </c>
      <c r="L10" s="8" t="inlineStr">
        <is>
          <t>Prospecto</t>
        </is>
      </c>
    </row>
    <row r="11">
      <c r="B11" s="10" t="n">
        <v>1</v>
      </c>
      <c r="C11" s="11" t="inlineStr">
        <is>
          <t>TSM</t>
        </is>
      </c>
      <c r="D11" s="11" t="inlineStr">
        <is>
          <t>TSMC - Arizona</t>
        </is>
      </c>
      <c r="E11" s="12" t="n">
        <v>0.0425</v>
      </c>
      <c r="F11" s="11" t="inlineStr">
        <is>
          <t>Semestral</t>
        </is>
      </c>
      <c r="G11" s="11" t="inlineStr">
        <is>
          <t>22-abr-2032</t>
        </is>
      </c>
      <c r="H11" s="11" t="inlineStr">
        <is>
          <t>AA- / Aa3</t>
        </is>
      </c>
      <c r="I11" s="11" t="inlineStr">
        <is>
          <t>~4,3-4,6%</t>
        </is>
      </c>
      <c r="J11" s="11" t="inlineStr">
        <is>
          <t>US872898AH40</t>
        </is>
      </c>
      <c r="K11" s="11" t="inlineStr">
        <is>
          <t>Semis</t>
        </is>
      </c>
      <c r="L11" s="13" t="inlineStr">
        <is>
          <t>SEC EDGAR (TSMC Arizona)</t>
        </is>
      </c>
    </row>
    <row r="12">
      <c r="B12" s="10" t="n">
        <v>2</v>
      </c>
      <c r="C12" s="11" t="inlineStr">
        <is>
          <t>KLAC</t>
        </is>
      </c>
      <c r="D12" s="11" t="inlineStr">
        <is>
          <t>KLA Corp</t>
        </is>
      </c>
      <c r="E12" s="12" t="n">
        <v>0.0465</v>
      </c>
      <c r="F12" s="11" t="inlineStr">
        <is>
          <t>Semestral</t>
        </is>
      </c>
      <c r="G12" s="51" t="n">
        <v>11885</v>
      </c>
      <c r="H12" s="11" t="inlineStr">
        <is>
          <t>A- / A3</t>
        </is>
      </c>
      <c r="I12" s="11" t="inlineStr">
        <is>
          <t>~4,7-5,0%</t>
        </is>
      </c>
      <c r="J12" s="11" t="inlineStr">
        <is>
          <t>482480AL4</t>
        </is>
      </c>
      <c r="K12" s="11" t="inlineStr">
        <is>
          <t>Semis</t>
        </is>
      </c>
      <c r="L12" s="13" t="inlineStr">
        <is>
          <t>Term sheet SEC</t>
        </is>
      </c>
    </row>
    <row r="13">
      <c r="B13" s="10" t="n">
        <v>3</v>
      </c>
      <c r="C13" s="11" t="inlineStr">
        <is>
          <t>B</t>
        </is>
      </c>
      <c r="D13" s="11" t="inlineStr">
        <is>
          <t>Barrick Mining</t>
        </is>
      </c>
      <c r="E13" s="12" t="n">
        <v>0.06375</v>
      </c>
      <c r="F13" s="11" t="inlineStr">
        <is>
          <t>Semestral</t>
        </is>
      </c>
      <c r="G13" s="51" t="n">
        <v>12114</v>
      </c>
      <c r="H13" s="11" t="inlineStr">
        <is>
          <t>A- / Baa1</t>
        </is>
      </c>
      <c r="I13" s="11" t="inlineStr">
        <is>
          <t>~5,1%</t>
        </is>
      </c>
      <c r="J13" s="11" t="inlineStr">
        <is>
          <t>725906AH4</t>
        </is>
      </c>
      <c r="K13" s="11" t="inlineStr">
        <is>
          <t>Oro</t>
        </is>
      </c>
      <c r="L13" s="13" t="inlineStr">
        <is>
          <t>SEC EDGAR (Barrick)</t>
        </is>
      </c>
    </row>
    <row r="14">
      <c r="B14" s="10" t="n">
        <v>4</v>
      </c>
      <c r="C14" s="11" t="inlineStr">
        <is>
          <t>NFLX</t>
        </is>
      </c>
      <c r="D14" s="11" t="inlineStr">
        <is>
          <t>Netflix</t>
        </is>
      </c>
      <c r="E14" s="12" t="n">
        <v>0.049</v>
      </c>
      <c r="F14" s="11" t="inlineStr">
        <is>
          <t>Semestral</t>
        </is>
      </c>
      <c r="G14" s="15" t="n">
        <v>2034</v>
      </c>
      <c r="H14" s="11" t="inlineStr">
        <is>
          <t>BBB / Baa2</t>
        </is>
      </c>
      <c r="I14" s="11" t="inlineStr">
        <is>
          <t>~5,0%</t>
        </is>
      </c>
      <c r="J14" s="11" t="inlineStr">
        <is>
          <t>US64110LAZ94</t>
        </is>
      </c>
      <c r="K14" s="11" t="inlineStr">
        <is>
          <t>Comm. Services</t>
        </is>
      </c>
      <c r="L14" s="13" t="inlineStr">
        <is>
          <t>424B5 SEC</t>
        </is>
      </c>
    </row>
    <row r="15">
      <c r="B15" s="10" t="n">
        <v>5</v>
      </c>
      <c r="C15" s="11" t="inlineStr">
        <is>
          <t>VLO</t>
        </is>
      </c>
      <c r="D15" s="11" t="inlineStr">
        <is>
          <t>Valero Energy</t>
        </is>
      </c>
      <c r="E15" s="12" t="n">
        <v>0.075</v>
      </c>
      <c r="F15" s="11" t="inlineStr">
        <is>
          <t>Semestral</t>
        </is>
      </c>
      <c r="G15" s="11" t="inlineStr">
        <is>
          <t>15-abr-2032</t>
        </is>
      </c>
      <c r="H15" s="11" t="inlineStr">
        <is>
          <t>BBB / Baa2</t>
        </is>
      </c>
      <c r="I15" s="11" t="inlineStr">
        <is>
          <t>~4,95%</t>
        </is>
      </c>
      <c r="J15" s="11" t="inlineStr">
        <is>
          <t>91913YAE0</t>
        </is>
      </c>
      <c r="K15" s="11" t="inlineStr">
        <is>
          <t>Energia</t>
        </is>
      </c>
      <c r="L15" s="13" t="inlineStr">
        <is>
          <t>SEC EDGAR (Valero)</t>
        </is>
      </c>
    </row>
    <row r="16">
      <c r="B16" s="10" t="n">
        <v>6</v>
      </c>
      <c r="C16" s="11" t="inlineStr">
        <is>
          <t>MU</t>
        </is>
      </c>
      <c r="D16" s="11" t="inlineStr">
        <is>
          <t>Micron Technology</t>
        </is>
      </c>
      <c r="E16" s="12" t="n">
        <v>0.05875</v>
      </c>
      <c r="F16" s="11" t="inlineStr">
        <is>
          <t>Semestral</t>
        </is>
      </c>
      <c r="G16" s="51" t="n">
        <v>12312</v>
      </c>
      <c r="H16" s="11" t="inlineStr">
        <is>
          <t>BBB- / Baa3</t>
        </is>
      </c>
      <c r="I16" s="11" t="inlineStr">
        <is>
          <t>~5,4%</t>
        </is>
      </c>
      <c r="J16" s="11" t="inlineStr">
        <is>
          <t>595112CB7</t>
        </is>
      </c>
      <c r="K16" s="11" t="inlineStr">
        <is>
          <t>Semis</t>
        </is>
      </c>
      <c r="L16" s="13" t="inlineStr">
        <is>
          <t>424B5 SEC</t>
        </is>
      </c>
    </row>
    <row r="19">
      <c r="B19" s="4" t="inlineStr">
        <is>
          <t>Empresas que no estan en nuestro ranking</t>
        </is>
      </c>
    </row>
    <row r="21">
      <c r="B21" s="27" t="inlineStr">
        <is>
          <t>Ticker</t>
        </is>
      </c>
      <c r="C21" s="27" t="inlineStr">
        <is>
          <t>Emisor</t>
        </is>
      </c>
      <c r="D21" s="27" t="inlineStr">
        <is>
          <t>Cupon</t>
        </is>
      </c>
      <c r="E21" s="27" t="inlineStr">
        <is>
          <t>Frecuencia</t>
        </is>
      </c>
      <c r="F21" s="27" t="inlineStr">
        <is>
          <t>Vencimiento</t>
        </is>
      </c>
      <c r="G21" s="27" t="inlineStr">
        <is>
          <t>Pata (liability)</t>
        </is>
      </c>
      <c r="H21" s="27" t="inlineStr">
        <is>
          <t>Rating (S&amp;P/Moody's)</t>
        </is>
      </c>
      <c r="I21" s="27" t="inlineStr">
        <is>
          <t>TIR aprox</t>
        </is>
      </c>
      <c r="J21" s="27" t="inlineStr">
        <is>
          <t>CUSIP/ISIN</t>
        </is>
      </c>
      <c r="K21" s="27" t="inlineStr">
        <is>
          <t>Sector</t>
        </is>
      </c>
      <c r="L21" s="27" t="inlineStr">
        <is>
          <t>Prospecto</t>
        </is>
      </c>
    </row>
    <row r="22">
      <c r="B22" s="27" t="inlineStr">
        <is>
          <t>AAPL</t>
        </is>
      </c>
      <c r="C22" s="27" t="inlineStr">
        <is>
          <t>Apple</t>
        </is>
      </c>
      <c r="D22" s="27" t="inlineStr">
        <is>
          <t>3,25%</t>
        </is>
      </c>
      <c r="E22" s="27" t="inlineStr">
        <is>
          <t>Semestral</t>
        </is>
      </c>
      <c r="F22" s="27" t="inlineStr">
        <is>
          <t>08-ago-2029</t>
        </is>
      </c>
      <c r="G22" s="27" t="inlineStr">
        <is>
          <t>Ano 3</t>
        </is>
      </c>
      <c r="H22" s="27" t="inlineStr">
        <is>
          <t>AA+ / Aaa</t>
        </is>
      </c>
      <c r="I22" s="27" t="inlineStr">
        <is>
          <t>~4,26%</t>
        </is>
      </c>
      <c r="J22" s="27" t="inlineStr">
        <is>
          <t>037833EN6</t>
        </is>
      </c>
      <c r="K22" s="27" t="inlineStr">
        <is>
          <t>Tech</t>
        </is>
      </c>
      <c r="L22" s="30" t="inlineStr">
        <is>
          <t>https://www.sec.gov/Archives/edgar/data/320193/000119312519238922/d751814d424b2.htm</t>
        </is>
      </c>
    </row>
    <row r="23">
      <c r="B23" s="27" t="inlineStr">
        <is>
          <t>CVX</t>
        </is>
      </c>
      <c r="C23" s="27" t="inlineStr">
        <is>
          <t>Chevron USA</t>
        </is>
      </c>
      <c r="D23" s="27" t="inlineStr">
        <is>
          <t>3,25%</t>
        </is>
      </c>
      <c r="E23" s="27" t="inlineStr">
        <is>
          <t>Semestral</t>
        </is>
      </c>
      <c r="F23" s="52" t="n">
        <v>47406</v>
      </c>
      <c r="G23" s="27" t="inlineStr">
        <is>
          <t>Ano 3</t>
        </is>
      </c>
      <c r="H23" s="27" t="inlineStr">
        <is>
          <t>AA- / Aa2</t>
        </is>
      </c>
      <c r="I23" s="27" t="inlineStr">
        <is>
          <t>~3,93%</t>
        </is>
      </c>
      <c r="J23" s="27" t="inlineStr">
        <is>
          <t>166756AS5</t>
        </is>
      </c>
      <c r="K23" s="27" t="inlineStr">
        <is>
          <t>Energia</t>
        </is>
      </c>
      <c r="L23" s="30" t="inlineStr">
        <is>
          <t>https://www.sec.gov/cgi-bin/browse-edgar?action=getcompany&amp;CIK=0000093410&amp;type=424B&amp;count=100</t>
        </is>
      </c>
    </row>
    <row r="24">
      <c r="B24" s="27" t="inlineStr">
        <is>
          <t>JPM</t>
        </is>
      </c>
      <c r="C24" s="27" t="inlineStr">
        <is>
          <t>JPMorgan Chase</t>
        </is>
      </c>
      <c r="D24" s="27" t="inlineStr">
        <is>
          <t>5,00%</t>
        </is>
      </c>
      <c r="E24" s="27" t="inlineStr">
        <is>
          <t>Semestral</t>
        </is>
      </c>
      <c r="F24" s="52" t="n">
        <v>47164</v>
      </c>
      <c r="G24" s="27" t="inlineStr">
        <is>
          <t>Ano 3</t>
        </is>
      </c>
      <c r="H24" s="27" t="inlineStr">
        <is>
          <t>A- / A1</t>
        </is>
      </c>
      <c r="I24" s="27" t="inlineStr">
        <is>
          <t>~4,10%</t>
        </is>
      </c>
      <c r="J24" s="27" t="inlineStr">
        <is>
          <t>48130CGM1</t>
        </is>
      </c>
      <c r="K24" s="27" t="inlineStr">
        <is>
          <t>Financiero</t>
        </is>
      </c>
      <c r="L24" s="30" t="inlineStr">
        <is>
          <t>https://www.sec.gov/cgi-bin/browse-edgar?action=getcompany&amp;CIK=0000019617&amp;type=424B&amp;count=100</t>
        </is>
      </c>
    </row>
    <row r="25">
      <c r="B25" s="27" t="inlineStr">
        <is>
          <t>KO</t>
        </is>
      </c>
      <c r="C25" s="27" t="inlineStr">
        <is>
          <t>Coca-Cola</t>
        </is>
      </c>
      <c r="D25" s="27" t="inlineStr">
        <is>
          <t>3,45%</t>
        </is>
      </c>
      <c r="E25" s="27" t="inlineStr">
        <is>
          <t>Semestral</t>
        </is>
      </c>
      <c r="F25" s="52" t="n">
        <v>11042</v>
      </c>
      <c r="G25" s="27" t="inlineStr">
        <is>
          <t>Ano 3-4</t>
        </is>
      </c>
      <c r="H25" s="27" t="inlineStr">
        <is>
          <t>A+ / A1</t>
        </is>
      </c>
      <c r="I25" s="27" t="inlineStr">
        <is>
          <t>~4,32%</t>
        </is>
      </c>
      <c r="J25" s="27" t="inlineStr">
        <is>
          <t>191216CT5</t>
        </is>
      </c>
      <c r="K25" s="27" t="inlineStr">
        <is>
          <t>Consumo defensivo</t>
        </is>
      </c>
      <c r="L25" s="30" t="inlineStr">
        <is>
          <t>https://www.sec.gov/cgi-bin/browse-edgar?action=getcompany&amp;CIK=0000021344&amp;type=424B&amp;count=100</t>
        </is>
      </c>
    </row>
    <row r="26">
      <c r="B26" s="27" t="inlineStr">
        <is>
          <t>AAPL</t>
        </is>
      </c>
      <c r="C26" s="27" t="inlineStr">
        <is>
          <t>Apple</t>
        </is>
      </c>
      <c r="D26" s="27" t="inlineStr">
        <is>
          <t>4,30%</t>
        </is>
      </c>
      <c r="E26" s="27" t="inlineStr">
        <is>
          <t>Semestral</t>
        </is>
      </c>
      <c r="F26" s="53" t="n">
        <v>12184</v>
      </c>
      <c r="G26" s="27" t="inlineStr">
        <is>
          <t>Ano 7</t>
        </is>
      </c>
      <c r="H26" s="27" t="inlineStr">
        <is>
          <t>AA+ / Aaa</t>
        </is>
      </c>
      <c r="I26" s="27" t="inlineStr">
        <is>
          <t>~4,68%</t>
        </is>
      </c>
      <c r="J26" s="27" t="inlineStr">
        <is>
          <t>037833EV8</t>
        </is>
      </c>
      <c r="K26" s="27" t="inlineStr">
        <is>
          <t>Tech</t>
        </is>
      </c>
      <c r="L26" s="30" t="inlineStr">
        <is>
          <t>https://www.sec.gov/Archives/edgar/data/320193/000114036123023700/ny20007635x3_424b2.htm</t>
        </is>
      </c>
    </row>
    <row r="27">
      <c r="B27" s="27" t="inlineStr">
        <is>
          <t>CMCSA</t>
        </is>
      </c>
      <c r="C27" s="27" t="inlineStr">
        <is>
          <t>Comcast</t>
        </is>
      </c>
      <c r="D27" s="27" t="inlineStr">
        <is>
          <t>7,05%</t>
        </is>
      </c>
      <c r="E27" s="27" t="inlineStr">
        <is>
          <t>Semestral</t>
        </is>
      </c>
      <c r="F27" s="52" t="n">
        <v>12128</v>
      </c>
      <c r="G27" s="27" t="inlineStr">
        <is>
          <t>Ano 7</t>
        </is>
      </c>
      <c r="H27" s="27" t="inlineStr">
        <is>
          <t>A- / A3</t>
        </is>
      </c>
      <c r="I27" s="27" t="inlineStr">
        <is>
          <t>~4,68%</t>
        </is>
      </c>
      <c r="J27" s="27" t="inlineStr">
        <is>
          <t>20030NAC5</t>
        </is>
      </c>
      <c r="K27" s="27" t="inlineStr">
        <is>
          <t>Media/Telecom</t>
        </is>
      </c>
      <c r="L27" s="30" t="inlineStr">
        <is>
          <t>https://www.sec.gov/cgi-bin/browse-edgar?action=getcompany&amp;CIK=0001166691&amp;type=424B&amp;count=100</t>
        </is>
      </c>
    </row>
    <row r="28">
      <c r="B28" s="27" t="inlineStr">
        <is>
          <t>ORCL</t>
        </is>
      </c>
      <c r="C28" s="27" t="inlineStr">
        <is>
          <t>Oracle</t>
        </is>
      </c>
      <c r="D28" s="27" t="inlineStr">
        <is>
          <t>6,25%</t>
        </is>
      </c>
      <c r="E28" s="27" t="inlineStr">
        <is>
          <t>Semestral</t>
        </is>
      </c>
      <c r="F28" s="52" t="n">
        <v>12002</v>
      </c>
      <c r="G28" s="27" t="inlineStr">
        <is>
          <t>Ano 7</t>
        </is>
      </c>
      <c r="H28" s="27" t="inlineStr">
        <is>
          <t>BBB / Baa2</t>
        </is>
      </c>
      <c r="I28" s="27" t="inlineStr">
        <is>
          <t>~5,4%</t>
        </is>
      </c>
      <c r="J28" s="27" t="inlineStr">
        <is>
          <t>68389XCE3</t>
        </is>
      </c>
      <c r="K28" s="27" t="inlineStr">
        <is>
          <t>Tech</t>
        </is>
      </c>
      <c r="L28" s="30" t="inlineStr">
        <is>
          <t>https://www.sec.gov/cgi-bin/browse-edgar?action=getcompany&amp;CIK=0001341439&amp;type=424B&amp;count=100</t>
        </is>
      </c>
    </row>
  </sheetData>
  <mergeCells count="1">
    <mergeCell ref="F4:G4"/>
  </mergeCells>
  <hyperlinks>
    <hyperlink xmlns:r="http://schemas.openxmlformats.org/officeDocument/2006/relationships" ref="L11" r:id="rId1"/>
    <hyperlink xmlns:r="http://schemas.openxmlformats.org/officeDocument/2006/relationships" ref="L12" r:id="rId2"/>
    <hyperlink xmlns:r="http://schemas.openxmlformats.org/officeDocument/2006/relationships" ref="L13" r:id="rId3"/>
    <hyperlink xmlns:r="http://schemas.openxmlformats.org/officeDocument/2006/relationships" ref="L14" r:id="rId4"/>
    <hyperlink xmlns:r="http://schemas.openxmlformats.org/officeDocument/2006/relationships" ref="L15" r:id="rId5"/>
    <hyperlink xmlns:r="http://schemas.openxmlformats.org/officeDocument/2006/relationships" ref="L16" r:id="rId6"/>
    <hyperlink xmlns:r="http://schemas.openxmlformats.org/officeDocument/2006/relationships" ref="L22" r:id="rId7"/>
    <hyperlink xmlns:r="http://schemas.openxmlformats.org/officeDocument/2006/relationships" ref="L23" r:id="rId8"/>
    <hyperlink xmlns:r="http://schemas.openxmlformats.org/officeDocument/2006/relationships" ref="L24" r:id="rId9"/>
    <hyperlink xmlns:r="http://schemas.openxmlformats.org/officeDocument/2006/relationships" ref="L25" r:id="rId10"/>
    <hyperlink xmlns:r="http://schemas.openxmlformats.org/officeDocument/2006/relationships" ref="L26" r:id="rId11"/>
    <hyperlink xmlns:r="http://schemas.openxmlformats.org/officeDocument/2006/relationships" ref="L27" r:id="rId12"/>
    <hyperlink xmlns:r="http://schemas.openxmlformats.org/officeDocument/2006/relationships" ref="L28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Federico Martin Rodriguez</dc:creator>
  <dcterms:created xmlns:dcterms="http://purl.org/dc/terms/" xmlns:xsi="http://www.w3.org/2001/XMLSchema-instance" xsi:type="dcterms:W3CDTF">2026-08-13T23:17:44Z</dcterms:created>
  <dcterms:modified xmlns:dcterms="http://purl.org/dc/terms/" xmlns:xsi="http://www.w3.org/2001/XMLSchema-instance" xsi:type="dcterms:W3CDTF">2026-08-29T20:38:15Z</dcterms:modified>
</cp:coreProperties>
</file>